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"/>
  </bookViews>
  <sheets>
    <sheet name="Student Sheet" sheetId="1" r:id="rId1"/>
    <sheet name="Payroll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8" i="2" l="1"/>
  <c r="O8" i="2" l="1"/>
  <c r="O9" i="2"/>
  <c r="O10" i="2"/>
  <c r="O11" i="2"/>
  <c r="O12" i="2"/>
  <c r="F9" i="2"/>
  <c r="N8" i="2" l="1"/>
  <c r="I9" i="2"/>
  <c r="I11" i="2"/>
  <c r="H9" i="2"/>
  <c r="G9" i="2"/>
  <c r="J9" i="2" s="1"/>
  <c r="G11" i="2"/>
  <c r="F10" i="2"/>
  <c r="F11" i="2"/>
  <c r="F12" i="2"/>
  <c r="E9" i="2"/>
  <c r="E10" i="2"/>
  <c r="E11" i="2"/>
  <c r="E12" i="2"/>
  <c r="E8" i="2"/>
  <c r="I8" i="2" s="1"/>
  <c r="H12" i="2" l="1"/>
  <c r="I12" i="2"/>
  <c r="J12" i="2" s="1"/>
  <c r="G12" i="2"/>
  <c r="J11" i="2"/>
  <c r="H11" i="2"/>
  <c r="G10" i="2"/>
  <c r="H10" i="2"/>
  <c r="J10" i="2" s="1"/>
  <c r="I10" i="2"/>
  <c r="L9" i="2"/>
  <c r="K9" i="2"/>
  <c r="H8" i="2"/>
  <c r="G8" i="2"/>
  <c r="J8" i="2" s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C17" i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C16" i="1"/>
  <c r="E15" i="1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C15" i="1"/>
  <c r="D15" i="1"/>
  <c r="AH4" i="1"/>
  <c r="AH5" i="1"/>
  <c r="AI5" i="1" s="1"/>
  <c r="AJ5" i="1" s="1"/>
  <c r="AH6" i="1"/>
  <c r="AI6" i="1" s="1"/>
  <c r="AJ6" i="1" s="1"/>
  <c r="AH7" i="1"/>
  <c r="AI7" i="1" s="1"/>
  <c r="AJ7" i="1" s="1"/>
  <c r="AH8" i="1"/>
  <c r="AI8" i="1" s="1"/>
  <c r="AJ8" i="1" s="1"/>
  <c r="AH9" i="1"/>
  <c r="AI9" i="1" s="1"/>
  <c r="AJ9" i="1" s="1"/>
  <c r="AH10" i="1"/>
  <c r="AI10" i="1" s="1"/>
  <c r="AJ10" i="1" s="1"/>
  <c r="AH11" i="1"/>
  <c r="AI11" i="1" s="1"/>
  <c r="AJ11" i="1" s="1"/>
  <c r="AH12" i="1"/>
  <c r="AI12" i="1" s="1"/>
  <c r="AJ12" i="1" s="1"/>
  <c r="AH13" i="1"/>
  <c r="AI13" i="1" s="1"/>
  <c r="AJ13" i="1" s="1"/>
  <c r="AI4" i="1"/>
  <c r="AJ4" i="1" s="1"/>
  <c r="L12" i="2" l="1"/>
  <c r="K12" i="2"/>
  <c r="M12" i="2" s="1"/>
  <c r="N12" i="2" s="1"/>
  <c r="L11" i="2"/>
  <c r="K11" i="2"/>
  <c r="M11" i="2" s="1"/>
  <c r="N11" i="2" s="1"/>
  <c r="L10" i="2"/>
  <c r="K10" i="2"/>
  <c r="M10" i="2" s="1"/>
  <c r="N10" i="2" s="1"/>
  <c r="M9" i="2"/>
  <c r="N9" i="2" s="1"/>
  <c r="K8" i="2"/>
  <c r="L8" i="2"/>
  <c r="M8" i="2" l="1"/>
</calcChain>
</file>

<file path=xl/sharedStrings.xml><?xml version="1.0" encoding="utf-8"?>
<sst xmlns="http://schemas.openxmlformats.org/spreadsheetml/2006/main" count="307" uniqueCount="45">
  <si>
    <t>Students Attendance Sheet (Jan) Class 6</t>
  </si>
  <si>
    <t>Roll#</t>
  </si>
  <si>
    <t>Name</t>
  </si>
  <si>
    <t xml:space="preserve">Present </t>
  </si>
  <si>
    <t>Absent</t>
  </si>
  <si>
    <t>Leave</t>
  </si>
  <si>
    <t>Ali</t>
  </si>
  <si>
    <t>Amir</t>
  </si>
  <si>
    <t>Kamran</t>
  </si>
  <si>
    <t>Bilal</t>
  </si>
  <si>
    <t>Zaid</t>
  </si>
  <si>
    <t>Amna</t>
  </si>
  <si>
    <t>Basit</t>
  </si>
  <si>
    <t>Akram</t>
  </si>
  <si>
    <t>Zahid</t>
  </si>
  <si>
    <t>Arbaz</t>
  </si>
  <si>
    <t>P</t>
  </si>
  <si>
    <t>A</t>
  </si>
  <si>
    <t>L</t>
  </si>
  <si>
    <t>Total Present</t>
  </si>
  <si>
    <t>Total Absent</t>
  </si>
  <si>
    <t>Total Leave</t>
  </si>
  <si>
    <t>Allowances</t>
  </si>
  <si>
    <t>Deductions</t>
  </si>
  <si>
    <t>Sr No</t>
  </si>
  <si>
    <t>Emp Name</t>
  </si>
  <si>
    <t>Designation</t>
  </si>
  <si>
    <t>Basic Pay</t>
  </si>
  <si>
    <t>Attendance</t>
  </si>
  <si>
    <t>Salary</t>
  </si>
  <si>
    <t>House Rent</t>
  </si>
  <si>
    <t>Conveyance</t>
  </si>
  <si>
    <t>Medical</t>
  </si>
  <si>
    <t>Gross pay</t>
  </si>
  <si>
    <t>GP Fund</t>
  </si>
  <si>
    <t>Tax</t>
  </si>
  <si>
    <t>Total Deduction</t>
  </si>
  <si>
    <t>Net salary</t>
  </si>
  <si>
    <t>Grade</t>
  </si>
  <si>
    <t>Manager</t>
  </si>
  <si>
    <t>HR</t>
  </si>
  <si>
    <t>Accountant</t>
  </si>
  <si>
    <t>PA</t>
  </si>
  <si>
    <t>Helper</t>
  </si>
  <si>
    <t>Employee Payroll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</si>
</sst>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 tint="0.1499984740745262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rgb="FFEC3838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BEF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4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0" xfId="0" applyBorder="1"/>
    <xf numFmtId="0" fontId="0" fillId="0" borderId="4" xfId="0" applyBorder="1"/>
    <xf numFmtId="0" fontId="0" fillId="0" borderId="2" xfId="0" applyBorder="1"/>
    <xf numFmtId="0" fontId="0" fillId="0" borderId="5" xfId="0" applyBorder="1"/>
    <xf numFmtId="0" fontId="0" fillId="0" borderId="3" xfId="0" applyBorder="1"/>
    <xf numFmtId="0" fontId="1" fillId="3" borderId="1" xfId="0" applyFont="1" applyFill="1" applyBorder="1" applyAlignment="1">
      <alignment horizontal="center" vertical="center"/>
    </xf>
    <xf numFmtId="0" fontId="0" fillId="4" borderId="1" xfId="0" applyFill="1" applyBorder="1"/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textRotation="90"/>
    </xf>
    <xf numFmtId="0" fontId="0" fillId="6" borderId="1" xfId="0" applyFill="1" applyBorder="1" applyAlignment="1">
      <alignment horizontal="center" vertical="center"/>
    </xf>
    <xf numFmtId="164" fontId="0" fillId="6" borderId="1" xfId="1" applyNumberFormat="1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textRotation="90"/>
    </xf>
    <xf numFmtId="0" fontId="0" fillId="0" borderId="0" xfId="0" applyAlignment="1">
      <alignment horizontal="center" vertical="center"/>
    </xf>
    <xf numFmtId="164" fontId="0" fillId="0" borderId="0" xfId="1" applyNumberFormat="1" applyFont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0" fillId="6" borderId="11" xfId="0" applyFill="1" applyBorder="1" applyAlignment="1">
      <alignment horizontal="center" vertical="center"/>
    </xf>
    <xf numFmtId="0" fontId="0" fillId="6" borderId="12" xfId="0" applyFill="1" applyBorder="1" applyAlignment="1">
      <alignment horizontal="center" vertical="center"/>
    </xf>
    <xf numFmtId="164" fontId="0" fillId="6" borderId="12" xfId="1" applyNumberFormat="1" applyFont="1" applyFill="1" applyBorder="1" applyAlignment="1">
      <alignment horizontal="center" vertical="center"/>
    </xf>
    <xf numFmtId="0" fontId="0" fillId="6" borderId="13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 textRotation="90"/>
    </xf>
    <xf numFmtId="0" fontId="0" fillId="5" borderId="1" xfId="0" applyFill="1" applyBorder="1" applyAlignment="1">
      <alignment horizontal="center" vertical="center" textRotation="90"/>
    </xf>
    <xf numFmtId="0" fontId="0" fillId="5" borderId="8" xfId="0" applyFill="1" applyBorder="1" applyAlignment="1">
      <alignment horizontal="center" vertical="center" textRotation="90"/>
    </xf>
    <xf numFmtId="0" fontId="0" fillId="5" borderId="10" xfId="0" applyFill="1" applyBorder="1" applyAlignment="1">
      <alignment horizontal="center" vertical="center" textRotation="90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 textRotation="90"/>
    </xf>
    <xf numFmtId="0" fontId="0" fillId="5" borderId="9" xfId="0" applyFill="1" applyBorder="1" applyAlignment="1">
      <alignment horizontal="center" vertical="center" textRotation="90"/>
    </xf>
    <xf numFmtId="0" fontId="0" fillId="5" borderId="7" xfId="0" applyFill="1" applyBorder="1" applyAlignment="1">
      <alignment horizontal="center" vertical="center" textRotation="90" wrapText="1"/>
    </xf>
    <xf numFmtId="0" fontId="0" fillId="5" borderId="1" xfId="0" applyFill="1" applyBorder="1" applyAlignment="1">
      <alignment horizontal="center" vertical="center" textRotation="90" wrapText="1"/>
    </xf>
    <xf numFmtId="0" fontId="0" fillId="5" borderId="14" xfId="0" applyFill="1" applyBorder="1" applyAlignment="1">
      <alignment horizontal="center" vertical="center"/>
    </xf>
    <xf numFmtId="0" fontId="0" fillId="5" borderId="15" xfId="0" applyFill="1" applyBorder="1" applyAlignment="1">
      <alignment horizontal="center" vertical="center"/>
    </xf>
    <xf numFmtId="0" fontId="0" fillId="5" borderId="16" xfId="0" applyFill="1" applyBorder="1" applyAlignment="1">
      <alignment horizontal="center" vertical="center"/>
    </xf>
    <xf numFmtId="0" fontId="0" fillId="5" borderId="17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5"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-0.24994659260841701"/>
        </patternFill>
      </fill>
    </dxf>
  </dxfs>
  <tableStyles count="0" defaultTableStyle="TableStyleMedium2" defaultPivotStyle="PivotStyleLight16"/>
  <colors>
    <mruColors>
      <color rgb="FFFFFBEF"/>
      <color rgb="FFEC3838"/>
      <color rgb="FFED4D4D"/>
      <color rgb="FFF16969"/>
      <color rgb="FFDC0A0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7"/>
  <sheetViews>
    <sheetView topLeftCell="C1" zoomScale="115" zoomScaleNormal="115" workbookViewId="0">
      <selection activeCell="AH21" sqref="AH21"/>
    </sheetView>
  </sheetViews>
  <sheetFormatPr defaultRowHeight="15" x14ac:dyDescent="0.25"/>
  <cols>
    <col min="1" max="1" width="5.42578125" bestFit="1" customWidth="1"/>
    <col min="2" max="2" width="7.7109375" customWidth="1"/>
    <col min="3" max="33" width="3.140625" customWidth="1"/>
    <col min="34" max="34" width="8.28515625" bestFit="1" customWidth="1"/>
    <col min="35" max="35" width="7.28515625" bestFit="1" customWidth="1"/>
    <col min="36" max="36" width="6.140625" bestFit="1" customWidth="1"/>
  </cols>
  <sheetData>
    <row r="1" spans="1:36" x14ac:dyDescent="0.25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</row>
    <row r="2" spans="1:36" x14ac:dyDescent="0.25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</row>
    <row r="3" spans="1:36" x14ac:dyDescent="0.25">
      <c r="A3" s="9" t="s">
        <v>1</v>
      </c>
      <c r="B3" s="9" t="s">
        <v>2</v>
      </c>
      <c r="C3" s="9">
        <v>1</v>
      </c>
      <c r="D3" s="9">
        <v>2</v>
      </c>
      <c r="E3" s="9">
        <v>3</v>
      </c>
      <c r="F3" s="9">
        <v>4</v>
      </c>
      <c r="G3" s="9">
        <v>5</v>
      </c>
      <c r="H3" s="9">
        <v>6</v>
      </c>
      <c r="I3" s="9">
        <v>7</v>
      </c>
      <c r="J3" s="9">
        <v>8</v>
      </c>
      <c r="K3" s="9">
        <v>9</v>
      </c>
      <c r="L3" s="9">
        <v>10</v>
      </c>
      <c r="M3" s="9">
        <v>11</v>
      </c>
      <c r="N3" s="9">
        <v>12</v>
      </c>
      <c r="O3" s="9">
        <v>13</v>
      </c>
      <c r="P3" s="9">
        <v>14</v>
      </c>
      <c r="Q3" s="9">
        <v>15</v>
      </c>
      <c r="R3" s="9">
        <v>16</v>
      </c>
      <c r="S3" s="9">
        <v>17</v>
      </c>
      <c r="T3" s="9">
        <v>18</v>
      </c>
      <c r="U3" s="9">
        <v>19</v>
      </c>
      <c r="V3" s="9">
        <v>20</v>
      </c>
      <c r="W3" s="9">
        <v>21</v>
      </c>
      <c r="X3" s="9">
        <v>22</v>
      </c>
      <c r="Y3" s="9">
        <v>23</v>
      </c>
      <c r="Z3" s="9">
        <v>24</v>
      </c>
      <c r="AA3" s="9">
        <v>25</v>
      </c>
      <c r="AB3" s="9">
        <v>26</v>
      </c>
      <c r="AC3" s="9">
        <v>27</v>
      </c>
      <c r="AD3" s="9">
        <v>28</v>
      </c>
      <c r="AE3" s="9">
        <v>29</v>
      </c>
      <c r="AF3" s="9">
        <v>30</v>
      </c>
      <c r="AG3" s="9">
        <v>31</v>
      </c>
      <c r="AH3" s="9" t="s">
        <v>3</v>
      </c>
      <c r="AI3" s="9" t="s">
        <v>4</v>
      </c>
      <c r="AJ3" s="9" t="s">
        <v>5</v>
      </c>
    </row>
    <row r="4" spans="1:36" x14ac:dyDescent="0.25">
      <c r="A4" s="11">
        <v>1</v>
      </c>
      <c r="B4" s="11" t="s">
        <v>6</v>
      </c>
      <c r="C4" s="2"/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17</v>
      </c>
      <c r="J4" s="2"/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  <c r="P4" s="1" t="s">
        <v>16</v>
      </c>
      <c r="Q4" s="2"/>
      <c r="R4" s="1" t="s">
        <v>16</v>
      </c>
      <c r="S4" s="1" t="s">
        <v>16</v>
      </c>
      <c r="T4" s="1" t="s">
        <v>16</v>
      </c>
      <c r="U4" s="1" t="s">
        <v>16</v>
      </c>
      <c r="V4" s="1" t="s">
        <v>16</v>
      </c>
      <c r="W4" s="1" t="s">
        <v>16</v>
      </c>
      <c r="X4" s="2"/>
      <c r="Y4" s="1" t="s">
        <v>16</v>
      </c>
      <c r="Z4" s="1" t="s">
        <v>16</v>
      </c>
      <c r="AA4" s="1" t="s">
        <v>16</v>
      </c>
      <c r="AB4" s="1" t="s">
        <v>16</v>
      </c>
      <c r="AC4" s="1" t="s">
        <v>16</v>
      </c>
      <c r="AD4" s="1" t="s">
        <v>16</v>
      </c>
      <c r="AE4" s="2"/>
      <c r="AF4" s="1" t="s">
        <v>16</v>
      </c>
      <c r="AG4" s="1" t="s">
        <v>16</v>
      </c>
      <c r="AH4" s="11">
        <f>COUNTIF(C4:AG4,"P")</f>
        <v>25</v>
      </c>
      <c r="AI4" s="11">
        <f>COUNTIF(E4:AH4,"A")</f>
        <v>1</v>
      </c>
      <c r="AJ4" s="11">
        <f>COUNTIF(F4:AI4,"L")</f>
        <v>0</v>
      </c>
    </row>
    <row r="5" spans="1:36" x14ac:dyDescent="0.25">
      <c r="A5" s="11">
        <v>2</v>
      </c>
      <c r="B5" s="11" t="s">
        <v>7</v>
      </c>
      <c r="C5" s="2"/>
      <c r="D5" s="1" t="s">
        <v>16</v>
      </c>
      <c r="E5" s="1" t="s">
        <v>16</v>
      </c>
      <c r="F5" s="1" t="s">
        <v>17</v>
      </c>
      <c r="G5" s="1" t="s">
        <v>16</v>
      </c>
      <c r="H5" s="1" t="s">
        <v>16</v>
      </c>
      <c r="I5" s="1" t="s">
        <v>16</v>
      </c>
      <c r="J5" s="2"/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  <c r="P5" s="1" t="s">
        <v>16</v>
      </c>
      <c r="Q5" s="2"/>
      <c r="R5" s="1" t="s">
        <v>16</v>
      </c>
      <c r="S5" s="1" t="s">
        <v>16</v>
      </c>
      <c r="T5" s="1" t="s">
        <v>16</v>
      </c>
      <c r="U5" s="1" t="s">
        <v>16</v>
      </c>
      <c r="V5" s="1" t="s">
        <v>16</v>
      </c>
      <c r="W5" s="1" t="s">
        <v>18</v>
      </c>
      <c r="X5" s="2"/>
      <c r="Y5" s="1" t="s">
        <v>18</v>
      </c>
      <c r="Z5" s="1" t="s">
        <v>16</v>
      </c>
      <c r="AA5" s="1" t="s">
        <v>17</v>
      </c>
      <c r="AB5" s="1" t="s">
        <v>16</v>
      </c>
      <c r="AC5" s="1" t="s">
        <v>16</v>
      </c>
      <c r="AD5" s="1" t="s">
        <v>16</v>
      </c>
      <c r="AE5" s="2"/>
      <c r="AF5" s="1" t="s">
        <v>16</v>
      </c>
      <c r="AG5" s="1" t="s">
        <v>16</v>
      </c>
      <c r="AH5" s="11">
        <f t="shared" ref="AH5:AH13" si="0">COUNTIF(C5:AG5,"P")</f>
        <v>22</v>
      </c>
      <c r="AI5" s="11">
        <f t="shared" ref="AI5:AI13" si="1">COUNTIF(E5:AH5,"A")</f>
        <v>2</v>
      </c>
      <c r="AJ5" s="11">
        <f t="shared" ref="AJ5:AJ13" si="2">COUNTIF(F5:AI5,"L")</f>
        <v>2</v>
      </c>
    </row>
    <row r="6" spans="1:36" x14ac:dyDescent="0.25">
      <c r="A6" s="11">
        <v>3</v>
      </c>
      <c r="B6" s="11" t="s">
        <v>8</v>
      </c>
      <c r="C6" s="2"/>
      <c r="D6" s="1" t="s">
        <v>16</v>
      </c>
      <c r="E6" s="1" t="s">
        <v>16</v>
      </c>
      <c r="F6" s="1" t="s">
        <v>16</v>
      </c>
      <c r="G6" s="1" t="s">
        <v>16</v>
      </c>
      <c r="H6" s="1" t="s">
        <v>18</v>
      </c>
      <c r="I6" s="1" t="s">
        <v>16</v>
      </c>
      <c r="J6" s="2"/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  <c r="P6" s="1" t="s">
        <v>17</v>
      </c>
      <c r="Q6" s="2"/>
      <c r="R6" s="1" t="s">
        <v>16</v>
      </c>
      <c r="S6" s="1" t="s">
        <v>17</v>
      </c>
      <c r="T6" s="1" t="s">
        <v>16</v>
      </c>
      <c r="U6" s="1" t="s">
        <v>17</v>
      </c>
      <c r="V6" s="1" t="s">
        <v>16</v>
      </c>
      <c r="W6" s="1" t="s">
        <v>16</v>
      </c>
      <c r="X6" s="2"/>
      <c r="Y6" s="1" t="s">
        <v>16</v>
      </c>
      <c r="Z6" s="1" t="s">
        <v>16</v>
      </c>
      <c r="AA6" s="1" t="s">
        <v>16</v>
      </c>
      <c r="AB6" s="1" t="s">
        <v>16</v>
      </c>
      <c r="AC6" s="1" t="s">
        <v>16</v>
      </c>
      <c r="AD6" s="1" t="s">
        <v>16</v>
      </c>
      <c r="AE6" s="2"/>
      <c r="AF6" s="1" t="s">
        <v>16</v>
      </c>
      <c r="AG6" s="1" t="s">
        <v>16</v>
      </c>
      <c r="AH6" s="11">
        <f t="shared" si="0"/>
        <v>22</v>
      </c>
      <c r="AI6" s="11">
        <f t="shared" si="1"/>
        <v>3</v>
      </c>
      <c r="AJ6" s="11">
        <f t="shared" si="2"/>
        <v>1</v>
      </c>
    </row>
    <row r="7" spans="1:36" x14ac:dyDescent="0.25">
      <c r="A7" s="11">
        <v>4</v>
      </c>
      <c r="B7" s="11" t="s">
        <v>9</v>
      </c>
      <c r="C7" s="2"/>
      <c r="D7" s="1" t="s">
        <v>16</v>
      </c>
      <c r="E7" s="1" t="s">
        <v>16</v>
      </c>
      <c r="F7" s="1" t="s">
        <v>16</v>
      </c>
      <c r="G7" s="1" t="s">
        <v>17</v>
      </c>
      <c r="H7" s="1" t="s">
        <v>16</v>
      </c>
      <c r="I7" s="1" t="s">
        <v>16</v>
      </c>
      <c r="J7" s="2"/>
      <c r="K7" s="1" t="s">
        <v>17</v>
      </c>
      <c r="L7" s="1" t="s">
        <v>16</v>
      </c>
      <c r="M7" s="1" t="s">
        <v>18</v>
      </c>
      <c r="N7" s="1" t="s">
        <v>16</v>
      </c>
      <c r="O7" s="1" t="s">
        <v>16</v>
      </c>
      <c r="P7" s="1" t="s">
        <v>16</v>
      </c>
      <c r="Q7" s="2"/>
      <c r="R7" s="1" t="s">
        <v>16</v>
      </c>
      <c r="S7" s="1" t="s">
        <v>16</v>
      </c>
      <c r="T7" s="1" t="s">
        <v>16</v>
      </c>
      <c r="U7" s="1" t="s">
        <v>16</v>
      </c>
      <c r="V7" s="1" t="s">
        <v>17</v>
      </c>
      <c r="W7" s="1" t="s">
        <v>16</v>
      </c>
      <c r="X7" s="2"/>
      <c r="Y7" s="1" t="s">
        <v>18</v>
      </c>
      <c r="Z7" s="1" t="s">
        <v>16</v>
      </c>
      <c r="AA7" s="1" t="s">
        <v>16</v>
      </c>
      <c r="AB7" s="1" t="s">
        <v>16</v>
      </c>
      <c r="AC7" s="1" t="s">
        <v>16</v>
      </c>
      <c r="AD7" s="1" t="s">
        <v>18</v>
      </c>
      <c r="AE7" s="2"/>
      <c r="AF7" s="1" t="s">
        <v>16</v>
      </c>
      <c r="AG7" s="1" t="s">
        <v>16</v>
      </c>
      <c r="AH7" s="11">
        <f t="shared" si="0"/>
        <v>20</v>
      </c>
      <c r="AI7" s="11">
        <f t="shared" si="1"/>
        <v>3</v>
      </c>
      <c r="AJ7" s="11">
        <f t="shared" si="2"/>
        <v>3</v>
      </c>
    </row>
    <row r="8" spans="1:36" x14ac:dyDescent="0.25">
      <c r="A8" s="11">
        <v>5</v>
      </c>
      <c r="B8" s="11" t="s">
        <v>10</v>
      </c>
      <c r="C8" s="2"/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2"/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  <c r="P8" s="1" t="s">
        <v>16</v>
      </c>
      <c r="Q8" s="2"/>
      <c r="R8" s="1" t="s">
        <v>16</v>
      </c>
      <c r="S8" s="1" t="s">
        <v>16</v>
      </c>
      <c r="T8" s="1" t="s">
        <v>16</v>
      </c>
      <c r="U8" s="1" t="s">
        <v>16</v>
      </c>
      <c r="V8" s="1" t="s">
        <v>16</v>
      </c>
      <c r="W8" s="1" t="s">
        <v>16</v>
      </c>
      <c r="X8" s="2"/>
      <c r="Y8" s="1" t="s">
        <v>16</v>
      </c>
      <c r="Z8" s="1" t="s">
        <v>16</v>
      </c>
      <c r="AA8" s="1" t="s">
        <v>16</v>
      </c>
      <c r="AB8" s="1" t="s">
        <v>16</v>
      </c>
      <c r="AC8" s="1" t="s">
        <v>16</v>
      </c>
      <c r="AD8" s="1" t="s">
        <v>16</v>
      </c>
      <c r="AE8" s="2"/>
      <c r="AF8" s="1" t="s">
        <v>16</v>
      </c>
      <c r="AG8" s="1" t="s">
        <v>16</v>
      </c>
      <c r="AH8" s="11">
        <f t="shared" si="0"/>
        <v>26</v>
      </c>
      <c r="AI8" s="11">
        <f t="shared" si="1"/>
        <v>0</v>
      </c>
      <c r="AJ8" s="11">
        <f t="shared" si="2"/>
        <v>0</v>
      </c>
    </row>
    <row r="9" spans="1:36" x14ac:dyDescent="0.25">
      <c r="A9" s="11">
        <v>6</v>
      </c>
      <c r="B9" s="11" t="s">
        <v>11</v>
      </c>
      <c r="C9" s="2"/>
      <c r="D9" s="1" t="s">
        <v>16</v>
      </c>
      <c r="E9" s="1" t="s">
        <v>16</v>
      </c>
      <c r="F9" s="1" t="s">
        <v>16</v>
      </c>
      <c r="G9" s="1" t="s">
        <v>17</v>
      </c>
      <c r="H9" s="1" t="s">
        <v>16</v>
      </c>
      <c r="I9" s="1" t="s">
        <v>17</v>
      </c>
      <c r="J9" s="2"/>
      <c r="K9" s="1" t="s">
        <v>16</v>
      </c>
      <c r="L9" s="1" t="s">
        <v>17</v>
      </c>
      <c r="M9" s="1" t="s">
        <v>16</v>
      </c>
      <c r="N9" s="1" t="s">
        <v>17</v>
      </c>
      <c r="O9" s="1" t="s">
        <v>16</v>
      </c>
      <c r="P9" s="1" t="s">
        <v>16</v>
      </c>
      <c r="Q9" s="2"/>
      <c r="R9" s="1" t="s">
        <v>16</v>
      </c>
      <c r="S9" s="1" t="s">
        <v>18</v>
      </c>
      <c r="T9" s="1" t="s">
        <v>16</v>
      </c>
      <c r="U9" s="1" t="s">
        <v>16</v>
      </c>
      <c r="V9" s="1" t="s">
        <v>16</v>
      </c>
      <c r="W9" s="1" t="s">
        <v>16</v>
      </c>
      <c r="X9" s="2"/>
      <c r="Y9" s="1" t="s">
        <v>16</v>
      </c>
      <c r="Z9" s="1" t="s">
        <v>16</v>
      </c>
      <c r="AA9" s="1" t="s">
        <v>16</v>
      </c>
      <c r="AB9" s="1" t="s">
        <v>17</v>
      </c>
      <c r="AC9" s="1" t="s">
        <v>16</v>
      </c>
      <c r="AD9" s="1" t="s">
        <v>16</v>
      </c>
      <c r="AE9" s="2"/>
      <c r="AF9" s="1" t="s">
        <v>16</v>
      </c>
      <c r="AG9" s="1" t="s">
        <v>16</v>
      </c>
      <c r="AH9" s="11">
        <f t="shared" si="0"/>
        <v>20</v>
      </c>
      <c r="AI9" s="11">
        <f t="shared" si="1"/>
        <v>5</v>
      </c>
      <c r="AJ9" s="11">
        <f t="shared" si="2"/>
        <v>1</v>
      </c>
    </row>
    <row r="10" spans="1:36" x14ac:dyDescent="0.25">
      <c r="A10" s="11">
        <v>7</v>
      </c>
      <c r="B10" s="11" t="s">
        <v>12</v>
      </c>
      <c r="C10" s="2"/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2"/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  <c r="P10" s="1" t="s">
        <v>16</v>
      </c>
      <c r="Q10" s="2"/>
      <c r="R10" s="1" t="s">
        <v>16</v>
      </c>
      <c r="S10" s="1" t="s">
        <v>16</v>
      </c>
      <c r="T10" s="1" t="s">
        <v>16</v>
      </c>
      <c r="U10" s="1" t="s">
        <v>16</v>
      </c>
      <c r="V10" s="1" t="s">
        <v>16</v>
      </c>
      <c r="W10" s="1" t="s">
        <v>16</v>
      </c>
      <c r="X10" s="2"/>
      <c r="Y10" s="1" t="s">
        <v>16</v>
      </c>
      <c r="Z10" s="1" t="s">
        <v>16</v>
      </c>
      <c r="AA10" s="1" t="s">
        <v>16</v>
      </c>
      <c r="AB10" s="1" t="s">
        <v>16</v>
      </c>
      <c r="AC10" s="1" t="s">
        <v>16</v>
      </c>
      <c r="AD10" s="1" t="s">
        <v>16</v>
      </c>
      <c r="AE10" s="2"/>
      <c r="AF10" s="1" t="s">
        <v>16</v>
      </c>
      <c r="AG10" s="1" t="s">
        <v>16</v>
      </c>
      <c r="AH10" s="11">
        <f t="shared" si="0"/>
        <v>26</v>
      </c>
      <c r="AI10" s="11">
        <f t="shared" si="1"/>
        <v>0</v>
      </c>
      <c r="AJ10" s="11">
        <f t="shared" si="2"/>
        <v>0</v>
      </c>
    </row>
    <row r="11" spans="1:36" x14ac:dyDescent="0.25">
      <c r="A11" s="11">
        <v>8</v>
      </c>
      <c r="B11" s="11" t="s">
        <v>13</v>
      </c>
      <c r="C11" s="2"/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17</v>
      </c>
      <c r="I11" s="1" t="s">
        <v>16</v>
      </c>
      <c r="J11" s="2"/>
      <c r="K11" s="1" t="s">
        <v>16</v>
      </c>
      <c r="L11" s="1" t="s">
        <v>18</v>
      </c>
      <c r="M11" s="1" t="s">
        <v>16</v>
      </c>
      <c r="N11" s="1" t="s">
        <v>16</v>
      </c>
      <c r="O11" s="1" t="s">
        <v>17</v>
      </c>
      <c r="P11" s="1" t="s">
        <v>16</v>
      </c>
      <c r="Q11" s="2"/>
      <c r="R11" s="1" t="s">
        <v>16</v>
      </c>
      <c r="S11" s="1" t="s">
        <v>17</v>
      </c>
      <c r="T11" s="1" t="s">
        <v>16</v>
      </c>
      <c r="U11" s="1" t="s">
        <v>17</v>
      </c>
      <c r="V11" s="1" t="s">
        <v>16</v>
      </c>
      <c r="W11" s="1" t="s">
        <v>16</v>
      </c>
      <c r="X11" s="2"/>
      <c r="Y11" s="1" t="s">
        <v>16</v>
      </c>
      <c r="Z11" s="1" t="s">
        <v>16</v>
      </c>
      <c r="AA11" s="1" t="s">
        <v>18</v>
      </c>
      <c r="AB11" s="1" t="s">
        <v>16</v>
      </c>
      <c r="AC11" s="1" t="s">
        <v>16</v>
      </c>
      <c r="AD11" s="1" t="s">
        <v>16</v>
      </c>
      <c r="AE11" s="2"/>
      <c r="AF11" s="1" t="s">
        <v>16</v>
      </c>
      <c r="AG11" s="1" t="s">
        <v>16</v>
      </c>
      <c r="AH11" s="11">
        <f t="shared" si="0"/>
        <v>20</v>
      </c>
      <c r="AI11" s="11">
        <f t="shared" si="1"/>
        <v>4</v>
      </c>
      <c r="AJ11" s="11">
        <f t="shared" si="2"/>
        <v>2</v>
      </c>
    </row>
    <row r="12" spans="1:36" x14ac:dyDescent="0.25">
      <c r="A12" s="11">
        <v>9</v>
      </c>
      <c r="B12" s="11" t="s">
        <v>14</v>
      </c>
      <c r="C12" s="2"/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2"/>
      <c r="K12" s="1" t="s">
        <v>17</v>
      </c>
      <c r="L12" s="1" t="s">
        <v>16</v>
      </c>
      <c r="M12" s="1" t="s">
        <v>16</v>
      </c>
      <c r="N12" s="1" t="s">
        <v>16</v>
      </c>
      <c r="O12" s="1" t="s">
        <v>16</v>
      </c>
      <c r="P12" s="1" t="s">
        <v>16</v>
      </c>
      <c r="Q12" s="2"/>
      <c r="R12" s="1" t="s">
        <v>16</v>
      </c>
      <c r="S12" s="1" t="s">
        <v>16</v>
      </c>
      <c r="T12" s="1" t="s">
        <v>16</v>
      </c>
      <c r="U12" s="1" t="s">
        <v>16</v>
      </c>
      <c r="V12" s="1" t="s">
        <v>16</v>
      </c>
      <c r="W12" s="1" t="s">
        <v>16</v>
      </c>
      <c r="X12" s="2"/>
      <c r="Y12" s="1" t="s">
        <v>16</v>
      </c>
      <c r="Z12" s="1" t="s">
        <v>16</v>
      </c>
      <c r="AA12" s="1" t="s">
        <v>16</v>
      </c>
      <c r="AB12" s="1" t="s">
        <v>16</v>
      </c>
      <c r="AC12" s="1" t="s">
        <v>18</v>
      </c>
      <c r="AD12" s="1" t="s">
        <v>16</v>
      </c>
      <c r="AE12" s="2"/>
      <c r="AF12" s="1" t="s">
        <v>16</v>
      </c>
      <c r="AG12" s="1" t="s">
        <v>17</v>
      </c>
      <c r="AH12" s="11">
        <f t="shared" si="0"/>
        <v>23</v>
      </c>
      <c r="AI12" s="11">
        <f t="shared" si="1"/>
        <v>2</v>
      </c>
      <c r="AJ12" s="11">
        <f t="shared" si="2"/>
        <v>1</v>
      </c>
    </row>
    <row r="13" spans="1:36" x14ac:dyDescent="0.25">
      <c r="A13" s="11">
        <v>10</v>
      </c>
      <c r="B13" s="11" t="s">
        <v>15</v>
      </c>
      <c r="C13" s="3"/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3"/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  <c r="P13" s="1" t="s">
        <v>16</v>
      </c>
      <c r="Q13" s="3"/>
      <c r="R13" s="1" t="s">
        <v>16</v>
      </c>
      <c r="S13" s="1" t="s">
        <v>16</v>
      </c>
      <c r="T13" s="1" t="s">
        <v>16</v>
      </c>
      <c r="U13" s="1" t="s">
        <v>16</v>
      </c>
      <c r="V13" s="1" t="s">
        <v>16</v>
      </c>
      <c r="W13" s="1" t="s">
        <v>16</v>
      </c>
      <c r="X13" s="3"/>
      <c r="Y13" s="1" t="s">
        <v>16</v>
      </c>
      <c r="Z13" s="1" t="s">
        <v>16</v>
      </c>
      <c r="AA13" s="1" t="s">
        <v>16</v>
      </c>
      <c r="AB13" s="1" t="s">
        <v>16</v>
      </c>
      <c r="AC13" s="1" t="s">
        <v>16</v>
      </c>
      <c r="AD13" s="1" t="s">
        <v>16</v>
      </c>
      <c r="AE13" s="3"/>
      <c r="AF13" s="1" t="s">
        <v>16</v>
      </c>
      <c r="AG13" s="1" t="s">
        <v>16</v>
      </c>
      <c r="AH13" s="11">
        <f t="shared" si="0"/>
        <v>26</v>
      </c>
      <c r="AI13" s="11">
        <f t="shared" si="1"/>
        <v>0</v>
      </c>
      <c r="AJ13" s="11">
        <f t="shared" si="2"/>
        <v>0</v>
      </c>
    </row>
    <row r="14" spans="1:36" x14ac:dyDescent="0.25">
      <c r="A14" s="8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5"/>
    </row>
    <row r="15" spans="1:36" x14ac:dyDescent="0.25">
      <c r="A15" s="24" t="s">
        <v>19</v>
      </c>
      <c r="B15" s="24"/>
      <c r="C15" s="10">
        <f>COUNTIF(C4:C13,"P")</f>
        <v>0</v>
      </c>
      <c r="D15" s="10">
        <f>COUNTIF(D4:D13,"P")</f>
        <v>10</v>
      </c>
      <c r="E15" s="10">
        <f t="shared" ref="E15:AG15" si="3">COUNTIF(E4:E13,"P")</f>
        <v>10</v>
      </c>
      <c r="F15" s="10">
        <f t="shared" si="3"/>
        <v>9</v>
      </c>
      <c r="G15" s="10">
        <f t="shared" si="3"/>
        <v>8</v>
      </c>
      <c r="H15" s="10">
        <f t="shared" si="3"/>
        <v>8</v>
      </c>
      <c r="I15" s="10">
        <f t="shared" si="3"/>
        <v>8</v>
      </c>
      <c r="J15" s="10">
        <f t="shared" si="3"/>
        <v>0</v>
      </c>
      <c r="K15" s="10">
        <f t="shared" si="3"/>
        <v>8</v>
      </c>
      <c r="L15" s="10">
        <f t="shared" si="3"/>
        <v>8</v>
      </c>
      <c r="M15" s="10">
        <f t="shared" si="3"/>
        <v>9</v>
      </c>
      <c r="N15" s="10">
        <f t="shared" si="3"/>
        <v>9</v>
      </c>
      <c r="O15" s="10">
        <f t="shared" si="3"/>
        <v>9</v>
      </c>
      <c r="P15" s="10">
        <f t="shared" si="3"/>
        <v>9</v>
      </c>
      <c r="Q15" s="10">
        <f t="shared" si="3"/>
        <v>0</v>
      </c>
      <c r="R15" s="10">
        <f t="shared" si="3"/>
        <v>10</v>
      </c>
      <c r="S15" s="10">
        <f t="shared" si="3"/>
        <v>7</v>
      </c>
      <c r="T15" s="10">
        <f t="shared" si="3"/>
        <v>10</v>
      </c>
      <c r="U15" s="10">
        <f t="shared" si="3"/>
        <v>8</v>
      </c>
      <c r="V15" s="10">
        <f t="shared" si="3"/>
        <v>9</v>
      </c>
      <c r="W15" s="10">
        <f t="shared" si="3"/>
        <v>9</v>
      </c>
      <c r="X15" s="10">
        <f t="shared" si="3"/>
        <v>0</v>
      </c>
      <c r="Y15" s="10">
        <f t="shared" si="3"/>
        <v>8</v>
      </c>
      <c r="Z15" s="10">
        <f t="shared" si="3"/>
        <v>10</v>
      </c>
      <c r="AA15" s="10">
        <f t="shared" si="3"/>
        <v>8</v>
      </c>
      <c r="AB15" s="10">
        <f t="shared" si="3"/>
        <v>9</v>
      </c>
      <c r="AC15" s="10">
        <f t="shared" si="3"/>
        <v>9</v>
      </c>
      <c r="AD15" s="10">
        <f t="shared" si="3"/>
        <v>9</v>
      </c>
      <c r="AE15" s="10">
        <f t="shared" si="3"/>
        <v>0</v>
      </c>
      <c r="AF15" s="10">
        <f t="shared" si="3"/>
        <v>10</v>
      </c>
      <c r="AG15" s="10">
        <f t="shared" si="3"/>
        <v>9</v>
      </c>
      <c r="AH15" s="4"/>
      <c r="AI15" s="4"/>
      <c r="AJ15" s="5"/>
    </row>
    <row r="16" spans="1:36" x14ac:dyDescent="0.25">
      <c r="A16" s="24" t="s">
        <v>20</v>
      </c>
      <c r="B16" s="24"/>
      <c r="C16" s="10">
        <f>COUNTIF(C5:C14,"A")</f>
        <v>0</v>
      </c>
      <c r="D16" s="10">
        <f t="shared" ref="D16:AG16" si="4">COUNTIF(D5:D14,"A")</f>
        <v>0</v>
      </c>
      <c r="E16" s="10">
        <f t="shared" si="4"/>
        <v>0</v>
      </c>
      <c r="F16" s="10">
        <f t="shared" si="4"/>
        <v>1</v>
      </c>
      <c r="G16" s="10">
        <f t="shared" si="4"/>
        <v>2</v>
      </c>
      <c r="H16" s="10">
        <f t="shared" si="4"/>
        <v>1</v>
      </c>
      <c r="I16" s="10">
        <f t="shared" si="4"/>
        <v>1</v>
      </c>
      <c r="J16" s="10">
        <f t="shared" si="4"/>
        <v>0</v>
      </c>
      <c r="K16" s="10">
        <f t="shared" si="4"/>
        <v>2</v>
      </c>
      <c r="L16" s="10">
        <f t="shared" si="4"/>
        <v>1</v>
      </c>
      <c r="M16" s="10">
        <f t="shared" si="4"/>
        <v>0</v>
      </c>
      <c r="N16" s="10">
        <f t="shared" si="4"/>
        <v>1</v>
      </c>
      <c r="O16" s="10">
        <f t="shared" si="4"/>
        <v>1</v>
      </c>
      <c r="P16" s="10">
        <f t="shared" si="4"/>
        <v>1</v>
      </c>
      <c r="Q16" s="10">
        <f t="shared" si="4"/>
        <v>0</v>
      </c>
      <c r="R16" s="10">
        <f t="shared" si="4"/>
        <v>0</v>
      </c>
      <c r="S16" s="10">
        <f t="shared" si="4"/>
        <v>2</v>
      </c>
      <c r="T16" s="10">
        <f t="shared" si="4"/>
        <v>0</v>
      </c>
      <c r="U16" s="10">
        <f t="shared" si="4"/>
        <v>2</v>
      </c>
      <c r="V16" s="10">
        <f t="shared" si="4"/>
        <v>1</v>
      </c>
      <c r="W16" s="10">
        <f t="shared" si="4"/>
        <v>0</v>
      </c>
      <c r="X16" s="10">
        <f t="shared" si="4"/>
        <v>0</v>
      </c>
      <c r="Y16" s="10">
        <f t="shared" si="4"/>
        <v>0</v>
      </c>
      <c r="Z16" s="10">
        <f t="shared" si="4"/>
        <v>0</v>
      </c>
      <c r="AA16" s="10">
        <f t="shared" si="4"/>
        <v>1</v>
      </c>
      <c r="AB16" s="10">
        <f t="shared" si="4"/>
        <v>1</v>
      </c>
      <c r="AC16" s="10">
        <f t="shared" si="4"/>
        <v>0</v>
      </c>
      <c r="AD16" s="10">
        <f t="shared" si="4"/>
        <v>0</v>
      </c>
      <c r="AE16" s="10">
        <f t="shared" si="4"/>
        <v>0</v>
      </c>
      <c r="AF16" s="10">
        <f t="shared" si="4"/>
        <v>0</v>
      </c>
      <c r="AG16" s="10">
        <f t="shared" si="4"/>
        <v>1</v>
      </c>
      <c r="AH16" s="4"/>
      <c r="AI16" s="4"/>
      <c r="AJ16" s="5"/>
    </row>
    <row r="17" spans="1:36" x14ac:dyDescent="0.25">
      <c r="A17" s="24" t="s">
        <v>21</v>
      </c>
      <c r="B17" s="24"/>
      <c r="C17" s="10">
        <f>COUNTIF(C6:C15,"l")</f>
        <v>0</v>
      </c>
      <c r="D17" s="10">
        <f t="shared" ref="D17:AG17" si="5">COUNTIF(D6:D15,"l")</f>
        <v>0</v>
      </c>
      <c r="E17" s="10">
        <f t="shared" si="5"/>
        <v>0</v>
      </c>
      <c r="F17" s="10">
        <f t="shared" si="5"/>
        <v>0</v>
      </c>
      <c r="G17" s="10">
        <f t="shared" si="5"/>
        <v>0</v>
      </c>
      <c r="H17" s="10">
        <f t="shared" si="5"/>
        <v>1</v>
      </c>
      <c r="I17" s="10">
        <f t="shared" si="5"/>
        <v>0</v>
      </c>
      <c r="J17" s="10">
        <f t="shared" si="5"/>
        <v>0</v>
      </c>
      <c r="K17" s="10">
        <f t="shared" si="5"/>
        <v>0</v>
      </c>
      <c r="L17" s="10">
        <f t="shared" si="5"/>
        <v>1</v>
      </c>
      <c r="M17" s="10">
        <f t="shared" si="5"/>
        <v>1</v>
      </c>
      <c r="N17" s="10">
        <f t="shared" si="5"/>
        <v>0</v>
      </c>
      <c r="O17" s="10">
        <f t="shared" si="5"/>
        <v>0</v>
      </c>
      <c r="P17" s="10">
        <f t="shared" si="5"/>
        <v>0</v>
      </c>
      <c r="Q17" s="10">
        <f t="shared" si="5"/>
        <v>0</v>
      </c>
      <c r="R17" s="10">
        <f t="shared" si="5"/>
        <v>0</v>
      </c>
      <c r="S17" s="10">
        <f t="shared" si="5"/>
        <v>1</v>
      </c>
      <c r="T17" s="10">
        <f t="shared" si="5"/>
        <v>0</v>
      </c>
      <c r="U17" s="10">
        <f t="shared" si="5"/>
        <v>0</v>
      </c>
      <c r="V17" s="10">
        <f t="shared" si="5"/>
        <v>0</v>
      </c>
      <c r="W17" s="10">
        <f t="shared" si="5"/>
        <v>0</v>
      </c>
      <c r="X17" s="10">
        <f t="shared" si="5"/>
        <v>0</v>
      </c>
      <c r="Y17" s="10">
        <f t="shared" si="5"/>
        <v>1</v>
      </c>
      <c r="Z17" s="10">
        <f t="shared" si="5"/>
        <v>0</v>
      </c>
      <c r="AA17" s="10">
        <f t="shared" si="5"/>
        <v>1</v>
      </c>
      <c r="AB17" s="10">
        <f t="shared" si="5"/>
        <v>0</v>
      </c>
      <c r="AC17" s="10">
        <f t="shared" si="5"/>
        <v>1</v>
      </c>
      <c r="AD17" s="10">
        <f t="shared" si="5"/>
        <v>1</v>
      </c>
      <c r="AE17" s="10">
        <f t="shared" si="5"/>
        <v>0</v>
      </c>
      <c r="AF17" s="10">
        <f t="shared" si="5"/>
        <v>0</v>
      </c>
      <c r="AG17" s="10">
        <f t="shared" si="5"/>
        <v>0</v>
      </c>
      <c r="AH17" s="6"/>
      <c r="AI17" s="6"/>
      <c r="AJ17" s="7"/>
    </row>
  </sheetData>
  <mergeCells count="4">
    <mergeCell ref="A15:B15"/>
    <mergeCell ref="A16:B16"/>
    <mergeCell ref="A17:B17"/>
    <mergeCell ref="A1:AJ2"/>
  </mergeCells>
  <conditionalFormatting sqref="D4:AG4 D5:I13 K5:P13 R5:W13 Y5:AD13 AF5:AG13">
    <cfRule type="containsText" dxfId="4" priority="2" operator="containsText" text="L">
      <formula>NOT(ISERROR(SEARCH("L",D4)))</formula>
    </cfRule>
    <cfRule type="containsText" dxfId="3" priority="3" operator="containsText" text="P">
      <formula>NOT(ISERROR(SEARCH("P",D4)))</formula>
    </cfRule>
    <cfRule type="containsText" dxfId="2" priority="4" operator="containsText" text="A">
      <formula>NOT(ISERROR(SEARCH("A",D4)))</formula>
    </cfRule>
    <cfRule type="containsText" dxfId="1" priority="5" operator="containsText" text="P">
      <formula>NOT(ISERROR(SEARCH("P",D4)))</formula>
    </cfRule>
  </conditionalFormatting>
  <conditionalFormatting sqref="D4:AG13">
    <cfRule type="containsText" dxfId="0" priority="1" operator="containsText" text="L">
      <formula>NOT(ISERROR(SEARCH("L",D4)))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"/>
  <sheetViews>
    <sheetView tabSelected="1" workbookViewId="0">
      <selection activeCell="M17" sqref="M17"/>
    </sheetView>
  </sheetViews>
  <sheetFormatPr defaultRowHeight="15" x14ac:dyDescent="0.25"/>
  <cols>
    <col min="1" max="1" width="5.7109375" bestFit="1" customWidth="1"/>
    <col min="2" max="2" width="10.5703125" bestFit="1" customWidth="1"/>
    <col min="3" max="3" width="11.5703125" bestFit="1" customWidth="1"/>
    <col min="4" max="4" width="10.5703125" bestFit="1" customWidth="1"/>
    <col min="5" max="5" width="11.28515625" bestFit="1" customWidth="1"/>
    <col min="6" max="6" width="10.5703125" bestFit="1" customWidth="1"/>
    <col min="7" max="7" width="11.140625" bestFit="1" customWidth="1"/>
    <col min="8" max="8" width="11.7109375" bestFit="1" customWidth="1"/>
    <col min="9" max="9" width="9.5703125" bestFit="1" customWidth="1"/>
    <col min="10" max="10" width="10.5703125" bestFit="1" customWidth="1"/>
    <col min="11" max="11" width="11" bestFit="1" customWidth="1"/>
    <col min="12" max="12" width="9.5703125" bestFit="1" customWidth="1"/>
    <col min="13" max="13" width="15.140625" bestFit="1" customWidth="1"/>
    <col min="14" max="14" width="10.5703125" bestFit="1" customWidth="1"/>
    <col min="15" max="15" width="6.28515625" bestFit="1" customWidth="1"/>
  </cols>
  <sheetData>
    <row r="1" spans="1:15" ht="15.75" thickBot="1" x14ac:dyDescent="0.3"/>
    <row r="2" spans="1:15" x14ac:dyDescent="0.25">
      <c r="A2" s="30" t="s">
        <v>44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2"/>
    </row>
    <row r="3" spans="1:15" ht="15.75" thickBot="1" x14ac:dyDescent="0.3">
      <c r="A3" s="33"/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5"/>
    </row>
    <row r="4" spans="1:15" ht="15.75" thickBot="1" x14ac:dyDescent="0.3"/>
    <row r="5" spans="1:15" ht="15" customHeight="1" x14ac:dyDescent="0.25">
      <c r="A5" s="38" t="s">
        <v>24</v>
      </c>
      <c r="B5" s="26" t="s">
        <v>25</v>
      </c>
      <c r="C5" s="26" t="s">
        <v>26</v>
      </c>
      <c r="D5" s="26" t="s">
        <v>27</v>
      </c>
      <c r="E5" s="26" t="s">
        <v>28</v>
      </c>
      <c r="F5" s="40" t="s">
        <v>29</v>
      </c>
      <c r="G5" s="42" t="s">
        <v>22</v>
      </c>
      <c r="H5" s="43"/>
      <c r="I5" s="44"/>
      <c r="J5" s="26" t="s">
        <v>33</v>
      </c>
      <c r="K5" s="36" t="s">
        <v>23</v>
      </c>
      <c r="L5" s="36"/>
      <c r="M5" s="36"/>
      <c r="N5" s="26" t="s">
        <v>37</v>
      </c>
      <c r="O5" s="28" t="s">
        <v>38</v>
      </c>
    </row>
    <row r="6" spans="1:15" x14ac:dyDescent="0.25">
      <c r="A6" s="39"/>
      <c r="B6" s="27"/>
      <c r="C6" s="27"/>
      <c r="D6" s="27"/>
      <c r="E6" s="27"/>
      <c r="F6" s="41"/>
      <c r="G6" s="45"/>
      <c r="H6" s="46"/>
      <c r="I6" s="47"/>
      <c r="J6" s="27"/>
      <c r="K6" s="37"/>
      <c r="L6" s="37"/>
      <c r="M6" s="37"/>
      <c r="N6" s="27"/>
      <c r="O6" s="29"/>
    </row>
    <row r="7" spans="1:15" ht="79.5" x14ac:dyDescent="0.25">
      <c r="A7" s="39"/>
      <c r="B7" s="27"/>
      <c r="C7" s="27"/>
      <c r="D7" s="27"/>
      <c r="E7" s="27"/>
      <c r="F7" s="41"/>
      <c r="G7" s="12" t="s">
        <v>30</v>
      </c>
      <c r="H7" s="12" t="s">
        <v>31</v>
      </c>
      <c r="I7" s="15" t="s">
        <v>32</v>
      </c>
      <c r="J7" s="27"/>
      <c r="K7" s="12" t="s">
        <v>34</v>
      </c>
      <c r="L7" s="12" t="s">
        <v>35</v>
      </c>
      <c r="M7" s="12" t="s">
        <v>36</v>
      </c>
      <c r="N7" s="27"/>
      <c r="O7" s="29"/>
    </row>
    <row r="8" spans="1:15" ht="20.25" customHeight="1" x14ac:dyDescent="0.25">
      <c r="A8" s="18">
        <v>1</v>
      </c>
      <c r="B8" s="13" t="s">
        <v>6</v>
      </c>
      <c r="C8" s="13" t="s">
        <v>39</v>
      </c>
      <c r="D8" s="14">
        <v>30000</v>
      </c>
      <c r="E8" s="13">
        <f>'Student Sheet'!AH4</f>
        <v>25</v>
      </c>
      <c r="F8" s="14">
        <f>D8/30*E8</f>
        <v>25000</v>
      </c>
      <c r="G8" s="14">
        <f>F8*20%</f>
        <v>5000</v>
      </c>
      <c r="H8" s="14">
        <f>F8*10%</f>
        <v>2500</v>
      </c>
      <c r="I8" s="14">
        <f>F8*5%</f>
        <v>1250</v>
      </c>
      <c r="J8" s="14">
        <f>F8+G8+H8+I8</f>
        <v>33750</v>
      </c>
      <c r="K8" s="14">
        <f>J8*12%</f>
        <v>4050</v>
      </c>
      <c r="L8" s="14">
        <f>J8*10%</f>
        <v>3375</v>
      </c>
      <c r="M8" s="14">
        <f>K8+L8</f>
        <v>7425</v>
      </c>
      <c r="N8" s="14">
        <f>J8-M8</f>
        <v>26325</v>
      </c>
      <c r="O8" s="19" t="str">
        <f>IF(N8&gt;=30000,"A",IF(N8&gt;=20000,"B","C"))</f>
        <v>B</v>
      </c>
    </row>
    <row r="9" spans="1:15" ht="20.25" customHeight="1" x14ac:dyDescent="0.25">
      <c r="A9" s="18">
        <v>2</v>
      </c>
      <c r="B9" s="13" t="s">
        <v>7</v>
      </c>
      <c r="C9" s="13" t="s">
        <v>40</v>
      </c>
      <c r="D9" s="14">
        <v>40000</v>
      </c>
      <c r="E9" s="13">
        <f>'Student Sheet'!AH5</f>
        <v>22</v>
      </c>
      <c r="F9" s="14">
        <f>D9/30*E9</f>
        <v>29333.333333333332</v>
      </c>
      <c r="G9" s="14">
        <f>F9*20%</f>
        <v>5866.666666666667</v>
      </c>
      <c r="H9" s="14">
        <f t="shared" ref="H9:H12" si="0">F9*10%</f>
        <v>2933.3333333333335</v>
      </c>
      <c r="I9" s="14">
        <f t="shared" ref="I9:I12" si="1">F9*5%</f>
        <v>1466.6666666666667</v>
      </c>
      <c r="J9" s="14">
        <f t="shared" ref="J9:J12" si="2">F9+G9+H9+I9</f>
        <v>39600</v>
      </c>
      <c r="K9" s="14">
        <f t="shared" ref="K9:K12" si="3">J9*12%</f>
        <v>4752</v>
      </c>
      <c r="L9" s="14">
        <f t="shared" ref="L9:L12" si="4">J9*10%</f>
        <v>3960</v>
      </c>
      <c r="M9" s="14">
        <f t="shared" ref="M9:M12" si="5">K9+L9</f>
        <v>8712</v>
      </c>
      <c r="N9" s="14">
        <f t="shared" ref="N9:N12" si="6">J9-M9</f>
        <v>30888</v>
      </c>
      <c r="O9" s="19" t="str">
        <f t="shared" ref="O9:O12" si="7">IF(N9&gt;=30000,"A",IF(N9&gt;=20000,"B","C"))</f>
        <v>A</v>
      </c>
    </row>
    <row r="10" spans="1:15" ht="20.25" customHeight="1" x14ac:dyDescent="0.25">
      <c r="A10" s="18">
        <v>3</v>
      </c>
      <c r="B10" s="13" t="s">
        <v>8</v>
      </c>
      <c r="C10" s="13" t="s">
        <v>41</v>
      </c>
      <c r="D10" s="14">
        <v>45000</v>
      </c>
      <c r="E10" s="13">
        <f>'Student Sheet'!AH6</f>
        <v>22</v>
      </c>
      <c r="F10" s="14">
        <f t="shared" ref="F10:F12" si="8">D10/30*E10</f>
        <v>33000</v>
      </c>
      <c r="G10" s="14">
        <f>F10*20%</f>
        <v>6600</v>
      </c>
      <c r="H10" s="14">
        <f t="shared" si="0"/>
        <v>3300</v>
      </c>
      <c r="I10" s="14">
        <f t="shared" si="1"/>
        <v>1650</v>
      </c>
      <c r="J10" s="14">
        <f t="shared" si="2"/>
        <v>44550</v>
      </c>
      <c r="K10" s="14">
        <f t="shared" si="3"/>
        <v>5346</v>
      </c>
      <c r="L10" s="14">
        <f t="shared" si="4"/>
        <v>4455</v>
      </c>
      <c r="M10" s="14">
        <f t="shared" si="5"/>
        <v>9801</v>
      </c>
      <c r="N10" s="14">
        <f t="shared" si="6"/>
        <v>34749</v>
      </c>
      <c r="O10" s="19" t="str">
        <f t="shared" si="7"/>
        <v>A</v>
      </c>
    </row>
    <row r="11" spans="1:15" ht="20.25" customHeight="1" x14ac:dyDescent="0.25">
      <c r="A11" s="18">
        <v>4</v>
      </c>
      <c r="B11" s="13" t="s">
        <v>9</v>
      </c>
      <c r="C11" s="13" t="s">
        <v>42</v>
      </c>
      <c r="D11" s="14">
        <v>25000</v>
      </c>
      <c r="E11" s="13">
        <f>'Student Sheet'!AH7</f>
        <v>20</v>
      </c>
      <c r="F11" s="14">
        <f t="shared" si="8"/>
        <v>16666.666666666668</v>
      </c>
      <c r="G11" s="14">
        <f t="shared" ref="G11:G12" si="9">F11*20%</f>
        <v>3333.3333333333339</v>
      </c>
      <c r="H11" s="14">
        <f t="shared" si="0"/>
        <v>1666.666666666667</v>
      </c>
      <c r="I11" s="14">
        <f t="shared" si="1"/>
        <v>833.33333333333348</v>
      </c>
      <c r="J11" s="14">
        <f t="shared" si="2"/>
        <v>22500</v>
      </c>
      <c r="K11" s="14">
        <f t="shared" si="3"/>
        <v>2700</v>
      </c>
      <c r="L11" s="14">
        <f t="shared" si="4"/>
        <v>2250</v>
      </c>
      <c r="M11" s="14">
        <f t="shared" si="5"/>
        <v>4950</v>
      </c>
      <c r="N11" s="14">
        <f t="shared" si="6"/>
        <v>17550</v>
      </c>
      <c r="O11" s="19" t="str">
        <f t="shared" si="7"/>
        <v>C</v>
      </c>
    </row>
    <row r="12" spans="1:15" ht="20.25" customHeight="1" thickBot="1" x14ac:dyDescent="0.3">
      <c r="A12" s="20">
        <v>5</v>
      </c>
      <c r="B12" s="21" t="s">
        <v>10</v>
      </c>
      <c r="C12" s="21" t="s">
        <v>43</v>
      </c>
      <c r="D12" s="22">
        <v>15000</v>
      </c>
      <c r="E12" s="21">
        <f>'Student Sheet'!AH8</f>
        <v>26</v>
      </c>
      <c r="F12" s="22">
        <f t="shared" si="8"/>
        <v>13000</v>
      </c>
      <c r="G12" s="22">
        <f t="shared" si="9"/>
        <v>2600</v>
      </c>
      <c r="H12" s="22">
        <f t="shared" si="0"/>
        <v>1300</v>
      </c>
      <c r="I12" s="22">
        <f t="shared" si="1"/>
        <v>650</v>
      </c>
      <c r="J12" s="22">
        <f t="shared" si="2"/>
        <v>17550</v>
      </c>
      <c r="K12" s="22">
        <f t="shared" si="3"/>
        <v>2106</v>
      </c>
      <c r="L12" s="22">
        <f t="shared" si="4"/>
        <v>1755</v>
      </c>
      <c r="M12" s="22">
        <f t="shared" si="5"/>
        <v>3861</v>
      </c>
      <c r="N12" s="22">
        <f t="shared" si="6"/>
        <v>13689</v>
      </c>
      <c r="O12" s="23" t="str">
        <f t="shared" si="7"/>
        <v>C</v>
      </c>
    </row>
    <row r="18" spans="3:4" x14ac:dyDescent="0.25">
      <c r="C18" s="17"/>
      <c r="D18" s="16"/>
    </row>
    <row r="19" spans="3:4" x14ac:dyDescent="0.25">
      <c r="C19" s="17"/>
      <c r="D19" s="16"/>
    </row>
    <row r="20" spans="3:4" x14ac:dyDescent="0.25">
      <c r="C20" s="16"/>
      <c r="D20" s="16"/>
    </row>
  </sheetData>
  <mergeCells count="12">
    <mergeCell ref="N5:N7"/>
    <mergeCell ref="O5:O7"/>
    <mergeCell ref="A2:O3"/>
    <mergeCell ref="J5:J7"/>
    <mergeCell ref="K5:M6"/>
    <mergeCell ref="A5:A7"/>
    <mergeCell ref="B5:B7"/>
    <mergeCell ref="C5:C7"/>
    <mergeCell ref="D5:D7"/>
    <mergeCell ref="E5:E7"/>
    <mergeCell ref="F5:F7"/>
    <mergeCell ref="G5:I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 Sheet</vt:lpstr>
      <vt:lpstr>Payroll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2026-02-11T08:16:41Z</dcterms:modified>
</cp:coreProperties>
</file>