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udent\Desktop\ayaaz\"/>
    </mc:Choice>
  </mc:AlternateContent>
  <xr:revisionPtr revIDLastSave="0" documentId="13_ncr:1_{3480740F-1557-4A24-A113-F597DE4A2159}" xr6:coauthVersionLast="47" xr6:coauthVersionMax="47" xr10:uidLastSave="{00000000-0000-0000-0000-000000000000}"/>
  <bookViews>
    <workbookView xWindow="-120" yWindow="-120" windowWidth="19440" windowHeight="15000" firstSheet="10" activeTab="16" xr2:uid="{00000000-000D-0000-FFFF-FFFF00000000}"/>
  </bookViews>
  <sheets>
    <sheet name="MarkSheet WITH AMMPR" sheetId="14" r:id="rId1"/>
    <sheet name="MarkSheet WITH Test" sheetId="13" r:id="rId2"/>
    <sheet name="MarkSheet Normal" sheetId="12" r:id="rId3"/>
    <sheet name="COUNT, A, BLANK" sheetId="10" r:id="rId4"/>
    <sheet name="COUNT IF" sheetId="1" r:id="rId5"/>
    <sheet name="SUMIF AND AVARAGE" sheetId="2" r:id="rId6"/>
    <sheet name="CONCAT IFERROR" sheetId="3" r:id="rId7"/>
    <sheet name="SUMPRODUCT" sheetId="4" r:id="rId8"/>
    <sheet name="FORECAST" sheetId="5" r:id="rId9"/>
    <sheet name="EDATE" sheetId="6" r:id="rId10"/>
    <sheet name="LARGE" sheetId="7" r:id="rId11"/>
    <sheet name="CHARTS" sheetId="8" r:id="rId12"/>
    <sheet name="Table" sheetId="18" r:id="rId13"/>
    <sheet name="Pivot Table" sheetId="17" r:id="rId14"/>
    <sheet name="Multi TAble" sheetId="11" r:id="rId15"/>
    <sheet name="PMT" sheetId="19" r:id="rId16"/>
    <sheet name="FV" sheetId="20" r:id="rId17"/>
  </sheets>
  <calcPr calcId="19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20" l="1"/>
  <c r="J12" i="20"/>
  <c r="J13" i="20"/>
  <c r="J14" i="20"/>
  <c r="J15" i="20"/>
  <c r="J21" i="5"/>
  <c r="I13" i="19"/>
  <c r="L13" i="19" s="1"/>
  <c r="I14" i="19"/>
  <c r="L14" i="19" s="1"/>
  <c r="I15" i="19"/>
  <c r="I16" i="19"/>
  <c r="I12" i="19"/>
  <c r="L12" i="19" s="1"/>
  <c r="Q26" i="19"/>
  <c r="L15" i="19"/>
  <c r="L16" i="19"/>
  <c r="D16" i="18"/>
  <c r="O24" i="11"/>
  <c r="K10" i="14"/>
  <c r="L10" i="14"/>
  <c r="M10" i="14"/>
  <c r="N10" i="14"/>
  <c r="O10" i="14"/>
  <c r="K11" i="14"/>
  <c r="L11" i="14"/>
  <c r="M11" i="14"/>
  <c r="N11" i="14"/>
  <c r="O11" i="14"/>
  <c r="P10" i="14" s="1"/>
  <c r="K12" i="14"/>
  <c r="L12" i="14"/>
  <c r="M12" i="14"/>
  <c r="N12" i="14"/>
  <c r="O12" i="14"/>
  <c r="P11" i="14" s="1"/>
  <c r="P12" i="14"/>
  <c r="K13" i="14"/>
  <c r="L13" i="14"/>
  <c r="M13" i="14"/>
  <c r="N13" i="14"/>
  <c r="O13" i="14"/>
  <c r="K14" i="14"/>
  <c r="L14" i="14"/>
  <c r="M14" i="14"/>
  <c r="N14" i="14"/>
  <c r="O14" i="14"/>
  <c r="P13" i="14" s="1"/>
  <c r="P14" i="14"/>
  <c r="N18" i="14"/>
  <c r="O18" i="14"/>
  <c r="H25" i="14"/>
  <c r="H27" i="14"/>
  <c r="L12" i="13"/>
  <c r="M12" i="13"/>
  <c r="L13" i="13"/>
  <c r="M13" i="13"/>
  <c r="L14" i="13"/>
  <c r="M14" i="13"/>
  <c r="L15" i="13"/>
  <c r="M15" i="13"/>
  <c r="L16" i="13"/>
  <c r="M16" i="13"/>
  <c r="L18" i="13"/>
  <c r="L19" i="13"/>
  <c r="H11" i="12"/>
  <c r="H12" i="12"/>
  <c r="H13" i="12"/>
  <c r="H14" i="12"/>
  <c r="H15" i="12"/>
  <c r="O19" i="10" l="1"/>
  <c r="O18" i="10"/>
  <c r="O17" i="10"/>
  <c r="P15" i="7"/>
  <c r="K15" i="7"/>
  <c r="O15" i="7"/>
  <c r="N15" i="7"/>
  <c r="K16" i="7"/>
  <c r="H27" i="6"/>
  <c r="J19" i="6"/>
  <c r="J20" i="6"/>
  <c r="J21" i="6"/>
  <c r="J22" i="6"/>
  <c r="J18" i="6"/>
  <c r="L21" i="4"/>
  <c r="L14" i="4"/>
  <c r="L15" i="4"/>
  <c r="L16" i="4"/>
  <c r="L17" i="4"/>
  <c r="L13" i="4"/>
  <c r="H21" i="4"/>
  <c r="O24" i="3"/>
  <c r="O23" i="3"/>
  <c r="O22" i="3"/>
  <c r="O21" i="3"/>
  <c r="O20" i="3"/>
  <c r="F20" i="3"/>
  <c r="N11" i="2"/>
  <c r="N12" i="2"/>
  <c r="U11" i="1"/>
  <c r="S11" i="1"/>
  <c r="U12" i="1"/>
  <c r="U13" i="1"/>
  <c r="U14" i="1"/>
  <c r="U15" i="1"/>
  <c r="T11" i="1"/>
  <c r="T12" i="1"/>
  <c r="T13" i="1"/>
  <c r="T14" i="1"/>
  <c r="T15" i="1"/>
  <c r="S12" i="1"/>
  <c r="S13" i="1"/>
  <c r="S14" i="1"/>
  <c r="S15" i="1"/>
</calcChain>
</file>

<file path=xl/sharedStrings.xml><?xml version="1.0" encoding="utf-8"?>
<sst xmlns="http://schemas.openxmlformats.org/spreadsheetml/2006/main" count="375" uniqueCount="151">
  <si>
    <t>COUNT IF</t>
  </si>
  <si>
    <t>Roll No</t>
  </si>
  <si>
    <t>Name</t>
  </si>
  <si>
    <t>Fees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</si>
  <si>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</si>
  <si>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</si>
  <si>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</si>
  <si>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</si>
  <si>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</si>
  <si>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</si>
  <si>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</si>
  <si>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</si>
  <si>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</si>
  <si>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</si>
  <si>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Now</t>
  </si>
  <si>
    <t>Dec</t>
  </si>
  <si>
    <t>Fees Remaining</t>
  </si>
  <si>
    <t>Fees Paid</t>
  </si>
  <si>
    <t>Status</t>
  </si>
  <si>
    <t>Ali</t>
  </si>
  <si>
    <t>Abdullah</t>
  </si>
  <si>
    <t>Raza</t>
  </si>
  <si>
    <t>Shahab</t>
  </si>
  <si>
    <t>Ahmed</t>
  </si>
  <si>
    <t>P</t>
  </si>
  <si>
    <t>D</t>
  </si>
  <si>
    <t>ITEEM TABLE</t>
  </si>
  <si>
    <t>ITEMS</t>
  </si>
  <si>
    <t>COUNTRY</t>
  </si>
  <si>
    <t>SALES</t>
  </si>
  <si>
    <t>Shoes</t>
  </si>
  <si>
    <t>Hoodies</t>
  </si>
  <si>
    <t>Tshirts</t>
  </si>
  <si>
    <t>Pakistan</t>
  </si>
  <si>
    <t>Canada</t>
  </si>
  <si>
    <t>Turkey</t>
  </si>
  <si>
    <t>Russia</t>
  </si>
  <si>
    <t>SUMIF</t>
  </si>
  <si>
    <t>AVERAGEIF</t>
  </si>
  <si>
    <t>IFERROR</t>
  </si>
  <si>
    <t>GOOGLE</t>
  </si>
  <si>
    <t>.</t>
  </si>
  <si>
    <t>Com</t>
  </si>
  <si>
    <t>CONCAT</t>
  </si>
  <si>
    <t>DEVIDE</t>
  </si>
  <si>
    <t>MULTIPLY</t>
  </si>
  <si>
    <t>MINUS</t>
  </si>
  <si>
    <t>PLUS</t>
  </si>
  <si>
    <t>ERROR</t>
  </si>
  <si>
    <t>A</t>
  </si>
  <si>
    <t>B</t>
  </si>
  <si>
    <t>Items</t>
  </si>
  <si>
    <t>Sold</t>
  </si>
  <si>
    <t>Price of 1 Item</t>
  </si>
  <si>
    <t>Tv</t>
  </si>
  <si>
    <t>Washing Machine</t>
  </si>
  <si>
    <t>Refrigerator</t>
  </si>
  <si>
    <t>Mobiles</t>
  </si>
  <si>
    <t>Laptops</t>
  </si>
  <si>
    <t>SUMPRODUCT</t>
  </si>
  <si>
    <t xml:space="preserve"> </t>
  </si>
  <si>
    <t>Daily Sales Report</t>
  </si>
  <si>
    <t>Months</t>
  </si>
  <si>
    <t>Sales</t>
  </si>
  <si>
    <t>FORECAST FUNCTION</t>
  </si>
  <si>
    <t>Type of the Month</t>
  </si>
  <si>
    <t>Prediction</t>
  </si>
  <si>
    <t>EDATE FUNCTION</t>
  </si>
  <si>
    <t>Joining Date</t>
  </si>
  <si>
    <t>Ayaz</t>
  </si>
  <si>
    <t>Bilal</t>
  </si>
  <si>
    <t>Akram</t>
  </si>
  <si>
    <t>End Date</t>
  </si>
  <si>
    <t>Test1</t>
  </si>
  <si>
    <t>LARGEST</t>
  </si>
  <si>
    <t>SMALEST</t>
  </si>
  <si>
    <t xml:space="preserve">Ali </t>
  </si>
  <si>
    <t>Arman</t>
  </si>
  <si>
    <t>Basit</t>
  </si>
  <si>
    <t>Munir</t>
  </si>
  <si>
    <t>Kamran</t>
  </si>
  <si>
    <t>Cell Refernce</t>
  </si>
  <si>
    <t>Marks of All</t>
  </si>
  <si>
    <t>Subject</t>
  </si>
  <si>
    <t>Marks</t>
  </si>
  <si>
    <t>Urdu</t>
  </si>
  <si>
    <t>English</t>
  </si>
  <si>
    <t>Maths</t>
  </si>
  <si>
    <t>Physics</t>
  </si>
  <si>
    <t>Chemistry</t>
  </si>
  <si>
    <t>Count IF</t>
  </si>
  <si>
    <t xml:space="preserve">LIST </t>
  </si>
  <si>
    <t>Count</t>
  </si>
  <si>
    <t>Counta</t>
  </si>
  <si>
    <t>CountBlank</t>
  </si>
  <si>
    <t>Apple</t>
  </si>
  <si>
    <t>Banana</t>
  </si>
  <si>
    <t>Orange</t>
  </si>
  <si>
    <t>Sarah</t>
  </si>
  <si>
    <t>Result</t>
  </si>
  <si>
    <t>Obtain Marks</t>
  </si>
  <si>
    <t>Total Marks</t>
  </si>
  <si>
    <t>Roll #</t>
  </si>
  <si>
    <t>SR.   No.</t>
  </si>
  <si>
    <t>Marks Sheets</t>
  </si>
  <si>
    <t>MAX</t>
  </si>
  <si>
    <t>MIN</t>
  </si>
  <si>
    <t>Average</t>
  </si>
  <si>
    <t>Total</t>
  </si>
  <si>
    <t>Test 1</t>
  </si>
  <si>
    <t>Test 2</t>
  </si>
  <si>
    <t>avg</t>
  </si>
  <si>
    <t>Percentage</t>
  </si>
  <si>
    <t>Max</t>
  </si>
  <si>
    <t>Min</t>
  </si>
  <si>
    <t>Obtain</t>
  </si>
  <si>
    <t>Computer</t>
  </si>
  <si>
    <t>Math</t>
  </si>
  <si>
    <t>City</t>
  </si>
  <si>
    <t>Size</t>
  </si>
  <si>
    <t>Quantity</t>
  </si>
  <si>
    <t>Hyderabad</t>
  </si>
  <si>
    <t>Karachi</t>
  </si>
  <si>
    <t>Islamabad</t>
  </si>
  <si>
    <t>1 Litr</t>
  </si>
  <si>
    <t>2 Litr</t>
  </si>
  <si>
    <t>4 Litr</t>
  </si>
  <si>
    <t>Row Labels</t>
  </si>
  <si>
    <t>Grand Total</t>
  </si>
  <si>
    <t>Sum of Quantity</t>
  </si>
  <si>
    <t>Column Labels</t>
  </si>
  <si>
    <t>(All)</t>
  </si>
  <si>
    <t>Pivort Table</t>
  </si>
  <si>
    <t>Table</t>
  </si>
  <si>
    <t>Details for Sum of Quantity - Months: Jan (+)</t>
  </si>
  <si>
    <t>SR. NO</t>
  </si>
  <si>
    <t>Amount</t>
  </si>
  <si>
    <t>Down Payment</t>
  </si>
  <si>
    <t>No. Of Years</t>
  </si>
  <si>
    <t>Markup</t>
  </si>
  <si>
    <t>Monthly Plan</t>
  </si>
  <si>
    <t>TV</t>
  </si>
  <si>
    <t>Laptop</t>
  </si>
  <si>
    <t>Generator</t>
  </si>
  <si>
    <t>PMT FORMULA</t>
  </si>
  <si>
    <t>Payment</t>
  </si>
  <si>
    <t>Bonus</t>
  </si>
  <si>
    <t>Profit</t>
  </si>
  <si>
    <t>Insurance</t>
  </si>
  <si>
    <t>FV=FUTURE VALUE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</si>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</sst>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[$-F800]dddd\,\ mmmm\ dd\,\ yyyy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9" fontId="6" fillId="0" borderId="0" xfId="1" applyFont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9" fontId="6" fillId="2" borderId="27" xfId="0" applyNumberFormat="1" applyFont="1" applyFill="1" applyBorder="1" applyAlignment="1">
      <alignment horizontal="center" vertical="center"/>
    </xf>
    <xf numFmtId="9" fontId="6" fillId="2" borderId="28" xfId="0" applyNumberFormat="1" applyFont="1" applyFill="1" applyBorder="1" applyAlignment="1">
      <alignment horizontal="center" vertical="center"/>
    </xf>
    <xf numFmtId="1" fontId="6" fillId="2" borderId="6" xfId="0" applyNumberFormat="1" applyFont="1" applyFill="1" applyBorder="1" applyAlignment="1">
      <alignment horizontal="center" vertical="center"/>
    </xf>
    <xf numFmtId="0" fontId="1" fillId="0" borderId="0" xfId="0" applyFont="1"/>
    <xf numFmtId="0" fontId="0" fillId="2" borderId="2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3" borderId="2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0" xfId="1" applyNumberFormat="1" applyFont="1"/>
    <xf numFmtId="10" fontId="0" fillId="0" borderId="0" xfId="0" applyNumberFormat="1"/>
    <xf numFmtId="9" fontId="0" fillId="2" borderId="1" xfId="1" applyFont="1" applyFill="1" applyBorder="1" applyAlignment="1">
      <alignment horizontal="center" vertical="center"/>
    </xf>
    <xf numFmtId="43" fontId="0" fillId="2" borderId="1" xfId="0" applyNumberFormat="1" applyFill="1" applyBorder="1" applyAlignment="1">
      <alignment horizontal="center" vertical="center"/>
    </xf>
    <xf numFmtId="8" fontId="0" fillId="0" borderId="0" xfId="0" applyNumberFormat="1"/>
    <xf numFmtId="165" fontId="0" fillId="2" borderId="1" xfId="0" applyNumberForma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6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2"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CHARTS!$G$16:$G$17</c:f>
              <c:strCache>
                <c:ptCount val="2"/>
                <c:pt idx="0">
                  <c:v>Marks of All</c:v>
                </c:pt>
                <c:pt idx="1">
                  <c:v>Marks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CHARTS!$F$18:$F$22</c:f>
              <c:strCache>
                <c:ptCount val="5"/>
                <c:pt idx="0">
                  <c:v>Urdu</c:v>
                </c:pt>
                <c:pt idx="1">
                  <c:v>English</c:v>
                </c:pt>
                <c:pt idx="2">
                  <c:v>Maths</c:v>
                </c:pt>
                <c:pt idx="3">
                  <c:v>Physics</c:v>
                </c:pt>
                <c:pt idx="4">
                  <c:v>Chemistry</c:v>
                </c:pt>
              </c:strCache>
            </c:strRef>
          </c:cat>
          <c:val>
            <c:numRef>
              <c:f>CHARTS!$G$18:$G$22</c:f>
              <c:numCache>
                <c:formatCode>General</c:formatCode>
                <c:ptCount val="5"/>
                <c:pt idx="0">
                  <c:v>67</c:v>
                </c:pt>
                <c:pt idx="1">
                  <c:v>48</c:v>
                </c:pt>
                <c:pt idx="2">
                  <c:v>19</c:v>
                </c:pt>
                <c:pt idx="3">
                  <c:v>35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0-4348-AE2C-6194F2B5D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6008207"/>
        <c:axId val="266007247"/>
      </c:barChart>
      <c:catAx>
        <c:axId val="26600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007247"/>
        <c:crosses val="autoZero"/>
        <c:auto val="1"/>
        <c:lblAlgn val="ctr"/>
        <c:lblOffset val="100"/>
        <c:noMultiLvlLbl val="0"/>
      </c:catAx>
      <c:valAx>
        <c:axId val="26600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00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75000"/>
      </a:schemeClr>
    </a:solidFill>
    <a:ln w="9525" cap="flat" cmpd="sng" algn="ctr">
      <a:solidFill>
        <a:schemeClr val="accent4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Class.xlsx]Pivot Table!PivotTable5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1 Litr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Table'!$A$5:$A$8</c:f>
              <c:strCache>
                <c:ptCount val="3"/>
                <c:pt idx="0">
                  <c:v>Hyderabad</c:v>
                </c:pt>
                <c:pt idx="1">
                  <c:v>Islamabad</c:v>
                </c:pt>
                <c:pt idx="2">
                  <c:v>Karachi</c:v>
                </c:pt>
              </c:strCache>
            </c:strRef>
          </c:cat>
          <c:val>
            <c:numRef>
              <c:f>'Pivot Table'!$B$5:$B$8</c:f>
              <c:numCache>
                <c:formatCode>General</c:formatCode>
                <c:ptCount val="3"/>
                <c:pt idx="0">
                  <c:v>1494</c:v>
                </c:pt>
                <c:pt idx="1">
                  <c:v>6118</c:v>
                </c:pt>
                <c:pt idx="2">
                  <c:v>1726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3-4AAD-B198-5719B1D1E7A5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2 Litr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Table'!$A$5:$A$8</c:f>
              <c:strCache>
                <c:ptCount val="3"/>
                <c:pt idx="0">
                  <c:v>Hyderabad</c:v>
                </c:pt>
                <c:pt idx="1">
                  <c:v>Islamabad</c:v>
                </c:pt>
                <c:pt idx="2">
                  <c:v>Karachi</c:v>
                </c:pt>
              </c:strCache>
            </c:strRef>
          </c:cat>
          <c:val>
            <c:numRef>
              <c:f>'Pivot Table'!$C$5:$C$8</c:f>
              <c:numCache>
                <c:formatCode>General</c:formatCode>
                <c:ptCount val="3"/>
                <c:pt idx="0">
                  <c:v>4592</c:v>
                </c:pt>
                <c:pt idx="2">
                  <c:v>2842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93-4AAD-B198-5719B1D1E7A5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4 Litr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Table'!$A$5:$A$8</c:f>
              <c:strCache>
                <c:ptCount val="3"/>
                <c:pt idx="0">
                  <c:v>Hyderabad</c:v>
                </c:pt>
                <c:pt idx="1">
                  <c:v>Islamabad</c:v>
                </c:pt>
                <c:pt idx="2">
                  <c:v>Karachi</c:v>
                </c:pt>
              </c:strCache>
            </c:strRef>
          </c:cat>
          <c:val>
            <c:numRef>
              <c:f>'Pivot Table'!$D$5:$D$8</c:f>
              <c:numCache>
                <c:formatCode>General</c:formatCode>
                <c:ptCount val="3"/>
                <c:pt idx="2">
                  <c:v>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93-4AAD-B198-5719B1D1E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5441535"/>
        <c:axId val="315427135"/>
        <c:axId val="0"/>
      </c:bar3DChart>
      <c:catAx>
        <c:axId val="31544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427135"/>
        <c:crosses val="autoZero"/>
        <c:auto val="1"/>
        <c:lblAlgn val="ctr"/>
        <c:lblOffset val="100"/>
        <c:noMultiLvlLbl val="0"/>
      </c:catAx>
      <c:valAx>
        <c:axId val="31542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44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9</xdr:row>
      <xdr:rowOff>4762</xdr:rowOff>
    </xdr:from>
    <xdr:to>
      <xdr:col>15</xdr:col>
      <xdr:colOff>504825</xdr:colOff>
      <xdr:row>23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A083A1-A5F1-1601-376E-5A38530A4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5</xdr:row>
      <xdr:rowOff>9524</xdr:rowOff>
    </xdr:from>
    <xdr:to>
      <xdr:col>13</xdr:col>
      <xdr:colOff>504825</xdr:colOff>
      <xdr:row>19</xdr:row>
      <xdr:rowOff>61911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C165AC-DFCB-CA24-34B7-2F84694FB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059.811813078704" createdVersion="8" refreshedVersion="8" minRefreshableVersion="3" recordCount="12" xr:uid="{CC918C55-F502-4CFF-B0FE-928303A7F6EC}">
  <cacheSource type="worksheet">
    <worksheetSource ref="F11:I23" sheet="Multi TAble"/>
  </cacheSource>
  <cacheFields count="4">
    <cacheField name="City" numFmtId="0">
      <sharedItems count="3">
        <s v="Hyderabad"/>
        <s v="Karachi"/>
        <s v="Islamabad"/>
      </sharedItems>
    </cacheField>
    <cacheField name="Months" numFmtId="0">
      <sharedItems count="3">
        <s v="Jan"/>
        <s v="Feb"/>
        <s v="Mar"/>
      </sharedItems>
    </cacheField>
    <cacheField name="Size" numFmtId="0">
      <sharedItems count="3">
        <s v="1 Litr"/>
        <s v="2 Litr"/>
        <s v="4 Litr"/>
      </sharedItems>
    </cacheField>
    <cacheField name="Quantity" numFmtId="0">
      <sharedItems containsSemiMixedTypes="0" containsString="0" containsNumber="1" containsInteger="1" minValue="1056" maxValue="18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494"/>
  </r>
  <r>
    <x v="1"/>
    <x v="1"/>
    <x v="1"/>
    <n v="1236"/>
  </r>
  <r>
    <x v="2"/>
    <x v="0"/>
    <x v="0"/>
    <n v="1056"/>
  </r>
  <r>
    <x v="1"/>
    <x v="1"/>
    <x v="2"/>
    <n v="1817"/>
  </r>
  <r>
    <x v="2"/>
    <x v="0"/>
    <x v="0"/>
    <n v="1443"/>
  </r>
  <r>
    <x v="0"/>
    <x v="2"/>
    <x v="1"/>
    <n v="1878"/>
  </r>
  <r>
    <x v="1"/>
    <x v="0"/>
    <x v="1"/>
    <n v="1606"/>
  </r>
  <r>
    <x v="2"/>
    <x v="1"/>
    <x v="0"/>
    <n v="1830"/>
  </r>
  <r>
    <x v="0"/>
    <x v="2"/>
    <x v="1"/>
    <n v="1241"/>
  </r>
  <r>
    <x v="0"/>
    <x v="1"/>
    <x v="1"/>
    <n v="1473"/>
  </r>
  <r>
    <x v="2"/>
    <x v="1"/>
    <x v="0"/>
    <n v="1789"/>
  </r>
  <r>
    <x v="1"/>
    <x v="2"/>
    <x v="0"/>
    <n v="17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16802-D408-4E94-80DD-1436943FA74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8" firstHeaderRow="1" firstDataRow="2" firstDataCol="1" rowPageCount="1" colPageCount="1"/>
  <pivotFields count="4">
    <pivotField axis="axisRow" showAll="0">
      <items count="4">
        <item x="0"/>
        <item x="2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Sum of Quantity" fld="3" baseField="0" baseItem="0"/>
  </dataFields>
  <formats count="10"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2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69A8FE-D01E-4B51-BB78-E55E8CB30462}" name="Table3" displayName="Table3" ref="A3:D16" totalsRowCount="1">
  <autoFilter ref="A3:D15" xr:uid="{FE69A8FE-D01E-4B51-BB78-E55E8CB30462}"/>
  <tableColumns count="4">
    <tableColumn id="1" xr3:uid="{A18FE302-F349-4B32-80E8-943DB948040B}" name="City" totalsRowLabel="Total"/>
    <tableColumn id="2" xr3:uid="{13530960-7E10-406D-9F0F-814F6F1CB397}" name="Months"/>
    <tableColumn id="3" xr3:uid="{C613278D-CEBF-4C28-A53B-30B73AC3E033}" name="Size"/>
    <tableColumn id="4" xr3:uid="{AD36BE81-64E4-41F1-A135-5182FC126764}" name="Quantity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CFCFE1-B599-4CAA-A888-4C7A633FB882}" name="Table2" displayName="Table2" ref="L11:O24" totalsRowCount="1" headerRowDxfId="11" headerRowBorderDxfId="10" tableBorderDxfId="9" totalsRowBorderDxfId="8">
  <autoFilter ref="L11:O23" xr:uid="{BFCFCFE1-B599-4CAA-A888-4C7A633FB882}"/>
  <tableColumns count="4">
    <tableColumn id="1" xr3:uid="{E2193725-1423-4D1A-AACC-D69F5A61D2A4}" name="City" totalsRowLabel="Total" dataDxfId="7" totalsRowDxfId="6"/>
    <tableColumn id="2" xr3:uid="{F2C947E1-2C68-4F71-91B0-E2133097139B}" name="Months" dataDxfId="5" totalsRowDxfId="4"/>
    <tableColumn id="3" xr3:uid="{33498D07-6476-4C67-9BCC-AA13EB6B0697}" name="Size" dataDxfId="3" totalsRowDxfId="2"/>
    <tableColumn id="4" xr3:uid="{8D881666-E391-4A40-99C3-EAFFDAF284A5}" name="Quantity" totalsRowFunction="sum" dataDxfId="1" totalsRowDxfId="0"/>
  </tableColumns>
  <tableStyleInfo name="TableStyleLight21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E87C-A23E-4A6E-AC4A-08AB4553B719}">
  <dimension ref="C6:P27"/>
  <sheetViews>
    <sheetView workbookViewId="0">
      <selection activeCell="C7" sqref="C7:P8"/>
    </sheetView>
  </sheetViews>
  <sheetFormatPr defaultRowHeight="15" x14ac:dyDescent="0.25"/>
  <cols>
    <col min="8" max="8" width="10.42578125" customWidth="1"/>
    <col min="9" max="9" width="11.5703125" customWidth="1"/>
    <col min="10" max="10" width="11.42578125" customWidth="1"/>
    <col min="13" max="13" width="11.28515625" customWidth="1"/>
    <col min="15" max="15" width="12.42578125" customWidth="1"/>
    <col min="16" max="16" width="13.42578125" customWidth="1"/>
  </cols>
  <sheetData>
    <row r="6" spans="3:16" ht="15.75" thickBot="1" x14ac:dyDescent="0.3"/>
    <row r="7" spans="3:16" ht="15" customHeight="1" x14ac:dyDescent="0.25">
      <c r="C7" s="64" t="s">
        <v>104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6"/>
    </row>
    <row r="8" spans="3:16" ht="15.75" customHeight="1" thickBot="1" x14ac:dyDescent="0.3">
      <c r="C8" s="67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9"/>
    </row>
    <row r="9" spans="3:16" x14ac:dyDescent="0.25">
      <c r="C9" s="43" t="s">
        <v>103</v>
      </c>
      <c r="D9" s="42" t="s">
        <v>2</v>
      </c>
      <c r="E9" s="42" t="s">
        <v>102</v>
      </c>
      <c r="F9" s="42" t="s">
        <v>117</v>
      </c>
      <c r="G9" s="42" t="s">
        <v>88</v>
      </c>
      <c r="H9" s="42" t="s">
        <v>86</v>
      </c>
      <c r="I9" s="42" t="s">
        <v>116</v>
      </c>
      <c r="J9" s="42" t="s">
        <v>108</v>
      </c>
      <c r="K9" s="42" t="s">
        <v>115</v>
      </c>
      <c r="L9" s="41" t="s">
        <v>107</v>
      </c>
      <c r="M9" s="41" t="s">
        <v>114</v>
      </c>
      <c r="N9" s="41" t="s">
        <v>113</v>
      </c>
      <c r="O9" s="41" t="s">
        <v>112</v>
      </c>
      <c r="P9" s="41" t="s">
        <v>99</v>
      </c>
    </row>
    <row r="10" spans="3:16" x14ac:dyDescent="0.25">
      <c r="C10" s="33">
        <v>1</v>
      </c>
      <c r="D10" s="32" t="s">
        <v>19</v>
      </c>
      <c r="E10" s="32">
        <v>202</v>
      </c>
      <c r="F10" s="32">
        <v>45</v>
      </c>
      <c r="G10" s="32">
        <v>100</v>
      </c>
      <c r="H10" s="32">
        <v>100</v>
      </c>
      <c r="I10" s="32">
        <v>80</v>
      </c>
      <c r="J10" s="32">
        <v>500</v>
      </c>
      <c r="K10" s="32">
        <f>SUM(F10+G10+H10+I10)</f>
        <v>325</v>
      </c>
      <c r="L10" s="46">
        <f>AVERAGE(F10:I10)</f>
        <v>81.25</v>
      </c>
      <c r="M10" s="31">
        <f>MIN(F10:I10)</f>
        <v>45</v>
      </c>
      <c r="N10" s="31">
        <f>MAX(F10:I10)</f>
        <v>100</v>
      </c>
      <c r="O10" s="45">
        <f>(K10/J10)</f>
        <v>0.65</v>
      </c>
      <c r="P10" s="4" t="str">
        <f>IF(O11&lt;=40%,"Fail","Pass")</f>
        <v>Fail</v>
      </c>
    </row>
    <row r="11" spans="3:16" x14ac:dyDescent="0.25">
      <c r="C11" s="33">
        <v>2</v>
      </c>
      <c r="D11" s="32" t="s">
        <v>20</v>
      </c>
      <c r="E11" s="32">
        <v>204</v>
      </c>
      <c r="F11" s="32">
        <v>23</v>
      </c>
      <c r="G11" s="32">
        <v>12</v>
      </c>
      <c r="H11" s="32">
        <v>50</v>
      </c>
      <c r="I11" s="32">
        <v>13</v>
      </c>
      <c r="J11" s="32">
        <v>500</v>
      </c>
      <c r="K11" s="32">
        <f>SUM(F11+G11+H11+I11)</f>
        <v>98</v>
      </c>
      <c r="L11" s="31">
        <f>AVERAGE(F11:I11)</f>
        <v>24.5</v>
      </c>
      <c r="M11" s="31">
        <f>MIN(F11:I11)</f>
        <v>12</v>
      </c>
      <c r="N11" s="31">
        <f>MAX(F11:I11)</f>
        <v>50</v>
      </c>
      <c r="O11" s="45">
        <f>(K11/J11)</f>
        <v>0.19600000000000001</v>
      </c>
      <c r="P11" s="4" t="str">
        <f>IF(O12&lt;=40%,"Fail","Pass")</f>
        <v>Fail</v>
      </c>
    </row>
    <row r="12" spans="3:16" x14ac:dyDescent="0.25">
      <c r="C12" s="33">
        <v>3</v>
      </c>
      <c r="D12" s="32" t="s">
        <v>21</v>
      </c>
      <c r="E12" s="32">
        <v>206</v>
      </c>
      <c r="F12" s="32">
        <v>50</v>
      </c>
      <c r="G12" s="32">
        <v>40</v>
      </c>
      <c r="H12" s="32">
        <v>60</v>
      </c>
      <c r="I12" s="32">
        <v>50</v>
      </c>
      <c r="J12" s="32">
        <v>500</v>
      </c>
      <c r="K12" s="32">
        <f>SUM(F12+G12+H12+I12)</f>
        <v>200</v>
      </c>
      <c r="L12" s="31">
        <f>AVERAGE(F12:I12)</f>
        <v>50</v>
      </c>
      <c r="M12" s="31">
        <f>MIN(F12:I12)</f>
        <v>40</v>
      </c>
      <c r="N12" s="31">
        <f>MAX(F12:I12)</f>
        <v>60</v>
      </c>
      <c r="O12" s="45">
        <f>(K12/J12)</f>
        <v>0.4</v>
      </c>
      <c r="P12" s="4" t="str">
        <f>IF(O13&lt;=40%,"Fail","Pass")</f>
        <v>Pass</v>
      </c>
    </row>
    <row r="13" spans="3:16" x14ac:dyDescent="0.25">
      <c r="C13" s="33">
        <v>4</v>
      </c>
      <c r="D13" s="32" t="s">
        <v>98</v>
      </c>
      <c r="E13" s="32">
        <v>208</v>
      </c>
      <c r="F13" s="32">
        <v>21</v>
      </c>
      <c r="G13" s="32">
        <v>60</v>
      </c>
      <c r="H13" s="32">
        <v>60</v>
      </c>
      <c r="I13" s="32">
        <v>60</v>
      </c>
      <c r="J13" s="32">
        <v>500</v>
      </c>
      <c r="K13" s="32">
        <f>SUM(F13+G13+H13+I13)</f>
        <v>201</v>
      </c>
      <c r="L13" s="31">
        <f>AVERAGE(F13:I13)</f>
        <v>50.25</v>
      </c>
      <c r="M13" s="31">
        <f>MIN(F13:I13)</f>
        <v>21</v>
      </c>
      <c r="N13" s="31">
        <f>MAX(F13:I13)</f>
        <v>60</v>
      </c>
      <c r="O13" s="45">
        <f>(K13/J13)</f>
        <v>0.40200000000000002</v>
      </c>
      <c r="P13" s="4" t="str">
        <f>IF(O14&lt;=40%,"Fail","Pass")</f>
        <v>Fail</v>
      </c>
    </row>
    <row r="14" spans="3:16" ht="15.75" thickBot="1" x14ac:dyDescent="0.3">
      <c r="C14" s="40">
        <v>5</v>
      </c>
      <c r="D14" s="39" t="s">
        <v>23</v>
      </c>
      <c r="E14" s="39">
        <v>210</v>
      </c>
      <c r="F14" s="39">
        <v>16</v>
      </c>
      <c r="G14" s="39">
        <v>32</v>
      </c>
      <c r="H14" s="39">
        <v>13</v>
      </c>
      <c r="I14" s="39">
        <v>32</v>
      </c>
      <c r="J14" s="39">
        <v>500</v>
      </c>
      <c r="K14" s="32">
        <f>SUM(F14+G14+H14+I14)</f>
        <v>93</v>
      </c>
      <c r="L14" s="38">
        <f>AVERAGE(F14:I14)</f>
        <v>23.25</v>
      </c>
      <c r="M14" s="31">
        <f>MIN(F14:I14)</f>
        <v>13</v>
      </c>
      <c r="N14" s="38">
        <f>MAX(F14:I14)</f>
        <v>32</v>
      </c>
      <c r="O14" s="44">
        <f>(K14/J14)</f>
        <v>0.186</v>
      </c>
      <c r="P14" s="4" t="str">
        <f>IF(O15&lt;=40%,"Fail","Pass")</f>
        <v>Fail</v>
      </c>
    </row>
    <row r="18" spans="8:15" x14ac:dyDescent="0.25">
      <c r="M18" t="s">
        <v>111</v>
      </c>
      <c r="N18">
        <f>AVERAGE(F10:I10)</f>
        <v>81.25</v>
      </c>
      <c r="O18">
        <f>240/500*100</f>
        <v>48</v>
      </c>
    </row>
    <row r="25" spans="8:15" x14ac:dyDescent="0.25">
      <c r="H25">
        <f>AVERAGE(F10:I10)</f>
        <v>81.25</v>
      </c>
    </row>
    <row r="27" spans="8:15" x14ac:dyDescent="0.25">
      <c r="H27">
        <f>(K10/J10)*100</f>
        <v>65</v>
      </c>
    </row>
  </sheetData>
  <mergeCells count="1">
    <mergeCell ref="C7:P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BBAB-DF02-4EDA-BF67-11FDC88E0276}">
  <dimension ref="F8:M19"/>
  <sheetViews>
    <sheetView topLeftCell="E1" zoomScale="80" zoomScaleNormal="80" workbookViewId="0">
      <selection activeCell="R26" sqref="R26"/>
    </sheetView>
  </sheetViews>
  <sheetFormatPr defaultRowHeight="20.100000000000001" customHeight="1" x14ac:dyDescent="0.25"/>
  <cols>
    <col min="6" max="6" width="12.28515625" customWidth="1"/>
    <col min="7" max="7" width="11.7109375" customWidth="1"/>
    <col min="8" max="8" width="11.85546875" customWidth="1"/>
    <col min="9" max="9" width="14" customWidth="1"/>
    <col min="10" max="11" width="14.28515625" customWidth="1"/>
    <col min="12" max="12" width="15.140625" customWidth="1"/>
    <col min="13" max="13" width="14.140625" customWidth="1"/>
  </cols>
  <sheetData>
    <row r="8" spans="6:13" ht="18" customHeight="1" thickBot="1" x14ac:dyDescent="0.3"/>
    <row r="9" spans="6:13" ht="20.100000000000001" customHeight="1" x14ac:dyDescent="0.25">
      <c r="F9" s="70" t="s">
        <v>104</v>
      </c>
      <c r="G9" s="71"/>
      <c r="H9" s="71"/>
      <c r="I9" s="71"/>
      <c r="J9" s="71"/>
      <c r="K9" s="71"/>
      <c r="L9" s="71"/>
      <c r="M9" s="72"/>
    </row>
    <row r="10" spans="6:13" ht="20.100000000000001" customHeight="1" thickBot="1" x14ac:dyDescent="0.3">
      <c r="F10" s="73"/>
      <c r="G10" s="74"/>
      <c r="H10" s="74"/>
      <c r="I10" s="74"/>
      <c r="J10" s="74"/>
      <c r="K10" s="74"/>
      <c r="L10" s="74"/>
      <c r="M10" s="75"/>
    </row>
    <row r="11" spans="6:13" ht="20.100000000000001" customHeight="1" x14ac:dyDescent="0.25">
      <c r="F11" s="43" t="s">
        <v>103</v>
      </c>
      <c r="G11" s="42" t="s">
        <v>2</v>
      </c>
      <c r="H11" s="42" t="s">
        <v>102</v>
      </c>
      <c r="I11" s="42" t="s">
        <v>109</v>
      </c>
      <c r="J11" s="42" t="s">
        <v>110</v>
      </c>
      <c r="K11" s="42" t="s">
        <v>109</v>
      </c>
      <c r="L11" s="42" t="s">
        <v>108</v>
      </c>
      <c r="M11" s="41" t="s">
        <v>107</v>
      </c>
    </row>
    <row r="12" spans="6:13" ht="20.100000000000001" customHeight="1" x14ac:dyDescent="0.25">
      <c r="F12" s="33">
        <v>1</v>
      </c>
      <c r="G12" s="32" t="s">
        <v>19</v>
      </c>
      <c r="H12" s="32">
        <v>202</v>
      </c>
      <c r="I12" s="32">
        <v>45</v>
      </c>
      <c r="J12" s="32">
        <v>65</v>
      </c>
      <c r="K12" s="32">
        <v>12</v>
      </c>
      <c r="L12" s="32">
        <f>SUM(I12:K12)</f>
        <v>122</v>
      </c>
      <c r="M12" s="31">
        <f>AVERAGE(I12:K12)</f>
        <v>40.666666666666664</v>
      </c>
    </row>
    <row r="13" spans="6:13" ht="20.100000000000001" customHeight="1" x14ac:dyDescent="0.25">
      <c r="F13" s="33">
        <v>2</v>
      </c>
      <c r="G13" s="32" t="s">
        <v>20</v>
      </c>
      <c r="H13" s="32">
        <v>204</v>
      </c>
      <c r="I13" s="32">
        <v>23</v>
      </c>
      <c r="J13" s="32">
        <v>12</v>
      </c>
      <c r="K13" s="32">
        <v>12</v>
      </c>
      <c r="L13" s="32">
        <f>SUM(I13:K13)</f>
        <v>47</v>
      </c>
      <c r="M13" s="31">
        <f>AVERAGE(I13:K13)</f>
        <v>15.666666666666666</v>
      </c>
    </row>
    <row r="14" spans="6:13" ht="20.100000000000001" customHeight="1" x14ac:dyDescent="0.25">
      <c r="F14" s="33">
        <v>3</v>
      </c>
      <c r="G14" s="32" t="s">
        <v>21</v>
      </c>
      <c r="H14" s="32">
        <v>206</v>
      </c>
      <c r="I14" s="32">
        <v>35</v>
      </c>
      <c r="J14" s="32">
        <v>54</v>
      </c>
      <c r="K14" s="32">
        <v>32</v>
      </c>
      <c r="L14" s="32">
        <f>SUM(I14:K14)</f>
        <v>121</v>
      </c>
      <c r="M14" s="31">
        <f>AVERAGE(I14:K14)</f>
        <v>40.333333333333336</v>
      </c>
    </row>
    <row r="15" spans="6:13" ht="20.100000000000001" customHeight="1" x14ac:dyDescent="0.25">
      <c r="F15" s="33">
        <v>4</v>
      </c>
      <c r="G15" s="32" t="s">
        <v>98</v>
      </c>
      <c r="H15" s="32">
        <v>208</v>
      </c>
      <c r="I15" s="32">
        <v>21</v>
      </c>
      <c r="J15" s="32">
        <v>52</v>
      </c>
      <c r="K15" s="32">
        <v>32</v>
      </c>
      <c r="L15" s="32">
        <f>SUM(I15:K15)</f>
        <v>105</v>
      </c>
      <c r="M15" s="31">
        <f>AVERAGE(I15:K15)</f>
        <v>35</v>
      </c>
    </row>
    <row r="16" spans="6:13" ht="20.100000000000001" customHeight="1" thickBot="1" x14ac:dyDescent="0.3">
      <c r="F16" s="40">
        <v>5</v>
      </c>
      <c r="G16" s="39" t="s">
        <v>23</v>
      </c>
      <c r="H16" s="39">
        <v>210</v>
      </c>
      <c r="I16" s="39">
        <v>16</v>
      </c>
      <c r="J16" s="39">
        <v>32</v>
      </c>
      <c r="K16" s="39">
        <v>32</v>
      </c>
      <c r="L16" s="39">
        <f>SUM(I16:K16)</f>
        <v>80</v>
      </c>
      <c r="M16" s="38">
        <f>AVERAGE(I16:K16)</f>
        <v>26.666666666666668</v>
      </c>
    </row>
    <row r="18" spans="11:12" ht="20.100000000000001" customHeight="1" x14ac:dyDescent="0.25">
      <c r="K18" s="37" t="s">
        <v>106</v>
      </c>
      <c r="L18" s="32">
        <f>MIN(L12:L16)</f>
        <v>47</v>
      </c>
    </row>
    <row r="19" spans="11:12" ht="20.100000000000001" customHeight="1" x14ac:dyDescent="0.25">
      <c r="K19" s="37" t="s">
        <v>105</v>
      </c>
      <c r="L19" s="3">
        <f>MAX(L12:L16)</f>
        <v>122</v>
      </c>
    </row>
  </sheetData>
  <mergeCells count="1">
    <mergeCell ref="F9:M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8F4C-A526-4A2D-ACF8-C3FAFA89F976}">
  <dimension ref="C8:L20"/>
  <sheetViews>
    <sheetView topLeftCell="A7" zoomScale="115" zoomScaleNormal="115" workbookViewId="0">
      <selection activeCell="D21" sqref="D21"/>
    </sheetView>
  </sheetViews>
  <sheetFormatPr defaultRowHeight="20.100000000000001" customHeight="1" x14ac:dyDescent="0.25"/>
  <cols>
    <col min="1" max="2" width="9.140625" style="29"/>
    <col min="3" max="3" width="13.42578125" style="29" customWidth="1"/>
    <col min="4" max="4" width="13.28515625" style="29" customWidth="1"/>
    <col min="5" max="5" width="13.5703125" style="29" customWidth="1"/>
    <col min="6" max="6" width="17.140625" style="29" customWidth="1"/>
    <col min="7" max="7" width="19.7109375" style="29" customWidth="1"/>
    <col min="8" max="9" width="9.140625" style="29"/>
    <col min="10" max="10" width="11.42578125" style="29" bestFit="1" customWidth="1"/>
    <col min="11" max="16384" width="9.140625" style="29"/>
  </cols>
  <sheetData>
    <row r="8" spans="3:10" ht="15" customHeight="1" thickBot="1" x14ac:dyDescent="0.3"/>
    <row r="9" spans="3:10" ht="25.5" customHeight="1" x14ac:dyDescent="0.25">
      <c r="C9" s="76" t="s">
        <v>104</v>
      </c>
      <c r="D9" s="77"/>
      <c r="E9" s="77"/>
      <c r="F9" s="77"/>
      <c r="G9" s="77"/>
      <c r="H9" s="78"/>
    </row>
    <row r="10" spans="3:10" ht="20.100000000000001" customHeight="1" x14ac:dyDescent="0.25">
      <c r="C10" s="36" t="s">
        <v>103</v>
      </c>
      <c r="D10" s="35" t="s">
        <v>2</v>
      </c>
      <c r="E10" s="35" t="s">
        <v>102</v>
      </c>
      <c r="F10" s="35" t="s">
        <v>101</v>
      </c>
      <c r="G10" s="35" t="s">
        <v>100</v>
      </c>
      <c r="H10" s="34" t="s">
        <v>99</v>
      </c>
    </row>
    <row r="11" spans="3:10" ht="20.100000000000001" customHeight="1" x14ac:dyDescent="0.25">
      <c r="C11" s="33">
        <v>1</v>
      </c>
      <c r="D11" s="32" t="s">
        <v>19</v>
      </c>
      <c r="E11" s="32">
        <v>202</v>
      </c>
      <c r="F11" s="32">
        <v>50</v>
      </c>
      <c r="G11" s="32">
        <v>25</v>
      </c>
      <c r="H11" s="31" t="str">
        <f>IF(G11&gt;=25,"Pass","Fail")</f>
        <v>Pass</v>
      </c>
      <c r="J11" s="30"/>
    </row>
    <row r="12" spans="3:10" ht="20.100000000000001" customHeight="1" x14ac:dyDescent="0.25">
      <c r="C12" s="33">
        <v>2</v>
      </c>
      <c r="D12" s="32" t="s">
        <v>20</v>
      </c>
      <c r="E12" s="32">
        <v>204</v>
      </c>
      <c r="F12" s="32">
        <v>50</v>
      </c>
      <c r="G12" s="32">
        <v>15</v>
      </c>
      <c r="H12" s="31" t="str">
        <f>IF(G12&gt;=25,"Pass","Fail")</f>
        <v>Fail</v>
      </c>
      <c r="J12" s="30"/>
    </row>
    <row r="13" spans="3:10" ht="20.100000000000001" customHeight="1" x14ac:dyDescent="0.25">
      <c r="C13" s="33">
        <v>3</v>
      </c>
      <c r="D13" s="32" t="s">
        <v>21</v>
      </c>
      <c r="E13" s="32">
        <v>206</v>
      </c>
      <c r="F13" s="32">
        <v>50</v>
      </c>
      <c r="G13" s="32">
        <v>35</v>
      </c>
      <c r="H13" s="31" t="str">
        <f>IF(G13&gt;=25,"Pass","Fail")</f>
        <v>Pass</v>
      </c>
      <c r="J13" s="30"/>
    </row>
    <row r="14" spans="3:10" ht="20.100000000000001" customHeight="1" x14ac:dyDescent="0.25">
      <c r="C14" s="33">
        <v>4</v>
      </c>
      <c r="D14" s="32" t="s">
        <v>98</v>
      </c>
      <c r="E14" s="32">
        <v>208</v>
      </c>
      <c r="F14" s="32">
        <v>50</v>
      </c>
      <c r="G14" s="32">
        <v>40</v>
      </c>
      <c r="H14" s="31" t="str">
        <f>IF(G14&gt;=25,"Pass","Fail")</f>
        <v>Pass</v>
      </c>
      <c r="J14" s="30"/>
    </row>
    <row r="15" spans="3:10" ht="20.100000000000001" customHeight="1" x14ac:dyDescent="0.25">
      <c r="C15" s="33">
        <v>5</v>
      </c>
      <c r="D15" s="32" t="s">
        <v>23</v>
      </c>
      <c r="E15" s="32">
        <v>210</v>
      </c>
      <c r="F15" s="32">
        <v>50</v>
      </c>
      <c r="G15" s="32">
        <v>45</v>
      </c>
      <c r="H15" s="31" t="str">
        <f>IF(G15&gt;=25,"Pass","Fail")</f>
        <v>Pass</v>
      </c>
      <c r="J15" s="30"/>
    </row>
    <row r="16" spans="3:10" ht="20.100000000000001" customHeight="1" x14ac:dyDescent="0.25">
      <c r="J16" s="30"/>
    </row>
    <row r="17" spans="10:12" ht="20.100000000000001" customHeight="1" x14ac:dyDescent="0.25">
      <c r="J17" s="30"/>
    </row>
    <row r="18" spans="10:12" ht="20.100000000000001" customHeight="1" x14ac:dyDescent="0.25">
      <c r="J18" s="30"/>
    </row>
    <row r="20" spans="10:12" ht="20.100000000000001" customHeight="1" x14ac:dyDescent="0.25">
      <c r="L20" s="30"/>
    </row>
  </sheetData>
  <mergeCells count="1">
    <mergeCell ref="C9:H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76A6-D782-4DA9-9239-1E7E65DC9C7C}">
  <dimension ref="K8:S31"/>
  <sheetViews>
    <sheetView topLeftCell="E4" zoomScale="85" zoomScaleNormal="85" workbookViewId="0">
      <selection activeCell="J12" sqref="J12"/>
    </sheetView>
  </sheetViews>
  <sheetFormatPr defaultColWidth="10.7109375" defaultRowHeight="15" x14ac:dyDescent="0.25"/>
  <cols>
    <col min="1" max="18" width="10.7109375" style="1"/>
    <col min="19" max="19" width="15.7109375" style="1" customWidth="1"/>
    <col min="20" max="20" width="16.28515625" style="1" customWidth="1"/>
    <col min="21" max="21" width="21.42578125" style="1" customWidth="1"/>
    <col min="22" max="16384" width="10.7109375" style="1"/>
  </cols>
  <sheetData>
    <row r="8" spans="11:19" ht="15" customHeight="1" x14ac:dyDescent="0.25"/>
    <row r="9" spans="11:19" ht="15" customHeight="1" x14ac:dyDescent="0.25"/>
    <row r="10" spans="11:19" x14ac:dyDescent="0.25">
      <c r="K10"/>
      <c r="L10"/>
      <c r="M10"/>
      <c r="N10"/>
      <c r="O10"/>
      <c r="P10"/>
      <c r="Q10"/>
      <c r="R10"/>
      <c r="S10"/>
    </row>
    <row r="11" spans="11:19" x14ac:dyDescent="0.25">
      <c r="K11"/>
      <c r="L11"/>
      <c r="M11"/>
      <c r="N11"/>
      <c r="O11"/>
      <c r="P11"/>
      <c r="Q11"/>
      <c r="R11"/>
      <c r="S11"/>
    </row>
    <row r="12" spans="11:19" x14ac:dyDescent="0.25">
      <c r="K12"/>
      <c r="L12"/>
      <c r="M12"/>
      <c r="N12"/>
      <c r="O12"/>
      <c r="P12"/>
      <c r="Q12"/>
      <c r="R12"/>
      <c r="S12"/>
    </row>
    <row r="13" spans="11:19" x14ac:dyDescent="0.25">
      <c r="K13"/>
      <c r="L13"/>
      <c r="M13"/>
      <c r="N13"/>
      <c r="O13"/>
      <c r="P13"/>
      <c r="Q13"/>
      <c r="R13"/>
      <c r="S13"/>
    </row>
    <row r="14" spans="11:19" x14ac:dyDescent="0.25">
      <c r="K14"/>
      <c r="L14"/>
      <c r="M14"/>
      <c r="N14"/>
      <c r="O14"/>
      <c r="P14"/>
      <c r="Q14"/>
      <c r="R14"/>
      <c r="S14"/>
    </row>
    <row r="15" spans="11:19" x14ac:dyDescent="0.25">
      <c r="K15"/>
      <c r="L15"/>
      <c r="M15"/>
      <c r="N15"/>
      <c r="O15"/>
      <c r="P15"/>
      <c r="Q15"/>
      <c r="R15" s="26" t="s">
        <v>90</v>
      </c>
      <c r="S15"/>
    </row>
    <row r="16" spans="11:19" x14ac:dyDescent="0.25">
      <c r="K16"/>
      <c r="L16" s="27" t="s">
        <v>91</v>
      </c>
      <c r="M16"/>
      <c r="N16"/>
      <c r="O16"/>
      <c r="P16"/>
      <c r="Q16"/>
      <c r="R16"/>
      <c r="S16"/>
    </row>
    <row r="17" spans="11:19" x14ac:dyDescent="0.25">
      <c r="K17"/>
      <c r="L17" s="28">
        <v>1</v>
      </c>
      <c r="M17"/>
      <c r="N17" s="16" t="s">
        <v>92</v>
      </c>
      <c r="O17" s="20">
        <f>COUNT(L17:L28)</f>
        <v>5</v>
      </c>
      <c r="P17"/>
      <c r="Q17"/>
      <c r="R17"/>
      <c r="S17"/>
    </row>
    <row r="18" spans="11:19" x14ac:dyDescent="0.25">
      <c r="K18"/>
      <c r="L18" s="28">
        <v>2</v>
      </c>
      <c r="M18"/>
      <c r="N18" s="16" t="s">
        <v>93</v>
      </c>
      <c r="O18" s="20">
        <f>COUNTA(L17:L28)</f>
        <v>8</v>
      </c>
      <c r="P18"/>
      <c r="Q18"/>
      <c r="R18"/>
      <c r="S18"/>
    </row>
    <row r="19" spans="11:19" x14ac:dyDescent="0.25">
      <c r="K19"/>
      <c r="L19" s="28">
        <v>3</v>
      </c>
      <c r="M19"/>
      <c r="N19" s="16" t="s">
        <v>94</v>
      </c>
      <c r="O19" s="20">
        <f>COUNTBLANK(L17:L28)</f>
        <v>4</v>
      </c>
      <c r="P19"/>
      <c r="Q19"/>
      <c r="R19"/>
      <c r="S19"/>
    </row>
    <row r="20" spans="11:19" x14ac:dyDescent="0.25">
      <c r="K20"/>
      <c r="L20" s="28"/>
      <c r="M20"/>
      <c r="N20"/>
      <c r="O20"/>
      <c r="P20"/>
      <c r="Q20"/>
      <c r="R20"/>
      <c r="S20"/>
    </row>
    <row r="21" spans="11:19" x14ac:dyDescent="0.25">
      <c r="K21"/>
      <c r="L21" s="28"/>
      <c r="M21"/>
      <c r="N21"/>
      <c r="O21"/>
      <c r="P21"/>
      <c r="Q21"/>
      <c r="R21"/>
      <c r="S21"/>
    </row>
    <row r="22" spans="11:19" x14ac:dyDescent="0.25">
      <c r="K22"/>
      <c r="L22" s="28" t="s">
        <v>95</v>
      </c>
      <c r="M22"/>
      <c r="N22"/>
      <c r="O22"/>
      <c r="P22"/>
      <c r="Q22"/>
      <c r="R22"/>
      <c r="S22"/>
    </row>
    <row r="23" spans="11:19" x14ac:dyDescent="0.25">
      <c r="K23"/>
      <c r="L23" s="28"/>
      <c r="M23"/>
      <c r="N23"/>
      <c r="O23"/>
      <c r="P23"/>
      <c r="Q23"/>
      <c r="R23"/>
      <c r="S23"/>
    </row>
    <row r="24" spans="11:19" x14ac:dyDescent="0.25">
      <c r="K24"/>
      <c r="L24" s="28" t="s">
        <v>96</v>
      </c>
      <c r="M24"/>
      <c r="N24"/>
      <c r="O24"/>
      <c r="P24"/>
      <c r="Q24"/>
      <c r="R24"/>
      <c r="S24"/>
    </row>
    <row r="25" spans="11:19" x14ac:dyDescent="0.25">
      <c r="K25"/>
      <c r="L25" s="28">
        <v>5</v>
      </c>
      <c r="M25"/>
      <c r="N25"/>
      <c r="O25"/>
      <c r="P25"/>
      <c r="Q25"/>
      <c r="R25"/>
      <c r="S25"/>
    </row>
    <row r="26" spans="11:19" x14ac:dyDescent="0.25">
      <c r="K26"/>
      <c r="L26" s="28" t="s">
        <v>97</v>
      </c>
      <c r="M26"/>
      <c r="N26"/>
      <c r="O26"/>
      <c r="P26"/>
      <c r="Q26"/>
      <c r="R26"/>
      <c r="S26"/>
    </row>
    <row r="27" spans="11:19" x14ac:dyDescent="0.25">
      <c r="K27"/>
      <c r="L27" s="28">
        <v>3</v>
      </c>
      <c r="M27"/>
      <c r="N27"/>
      <c r="O27"/>
      <c r="P27"/>
      <c r="Q27"/>
      <c r="R27"/>
      <c r="S27"/>
    </row>
    <row r="28" spans="11:19" x14ac:dyDescent="0.25">
      <c r="K28"/>
      <c r="L28" s="28"/>
      <c r="M28"/>
      <c r="N28"/>
      <c r="O28"/>
      <c r="P28"/>
      <c r="Q28"/>
      <c r="R28"/>
      <c r="S28"/>
    </row>
    <row r="29" spans="11:19" x14ac:dyDescent="0.25">
      <c r="K29"/>
      <c r="L29"/>
      <c r="M29"/>
      <c r="N29"/>
      <c r="O29"/>
      <c r="P29"/>
      <c r="Q29"/>
      <c r="R29"/>
      <c r="S29"/>
    </row>
    <row r="30" spans="11:19" x14ac:dyDescent="0.25">
      <c r="K30"/>
      <c r="L30"/>
      <c r="M30"/>
      <c r="N30"/>
      <c r="O30"/>
      <c r="P30"/>
      <c r="Q30"/>
      <c r="R30"/>
      <c r="S30"/>
    </row>
    <row r="31" spans="11:19" x14ac:dyDescent="0.25">
      <c r="K31"/>
      <c r="L31"/>
      <c r="M31"/>
      <c r="N31"/>
      <c r="O31"/>
      <c r="P31"/>
      <c r="Q31"/>
      <c r="R31"/>
      <c r="S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U19"/>
  <sheetViews>
    <sheetView topLeftCell="E1" zoomScale="85" zoomScaleNormal="85" workbookViewId="0">
      <selection activeCell="I22" sqref="I22"/>
    </sheetView>
  </sheetViews>
  <sheetFormatPr defaultColWidth="10.7109375" defaultRowHeight="15" x14ac:dyDescent="0.25"/>
  <cols>
    <col min="1" max="18" width="10.7109375" style="1"/>
    <col min="19" max="19" width="15.7109375" style="1" customWidth="1"/>
    <col min="20" max="20" width="16.28515625" style="1" customWidth="1"/>
    <col min="21" max="21" width="21.42578125" style="1" customWidth="1"/>
    <col min="22" max="16384" width="10.7109375" style="1"/>
  </cols>
  <sheetData>
    <row r="7" spans="4:21" ht="15.75" thickBot="1" x14ac:dyDescent="0.3"/>
    <row r="8" spans="4:21" ht="15" customHeight="1" x14ac:dyDescent="0.25">
      <c r="D8" s="79" t="s">
        <v>0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1"/>
    </row>
    <row r="9" spans="4:21" ht="15" customHeight="1" thickBot="1" x14ac:dyDescent="0.3">
      <c r="D9" s="82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4"/>
    </row>
    <row r="10" spans="4:21" x14ac:dyDescent="0.25">
      <c r="D10" s="10" t="s">
        <v>1</v>
      </c>
      <c r="E10" s="11" t="s">
        <v>2</v>
      </c>
      <c r="F10" s="11" t="s">
        <v>3</v>
      </c>
      <c r="G10" s="11" t="s">
        <v>4</v>
      </c>
      <c r="H10" s="11" t="s">
        <v>5</v>
      </c>
      <c r="I10" s="11" t="s">
        <v>6</v>
      </c>
      <c r="J10" s="11" t="s">
        <v>7</v>
      </c>
      <c r="K10" s="11" t="s">
        <v>8</v>
      </c>
      <c r="L10" s="11" t="s">
        <v>9</v>
      </c>
      <c r="M10" s="11" t="s">
        <v>10</v>
      </c>
      <c r="N10" s="11" t="s">
        <v>11</v>
      </c>
      <c r="O10" s="11" t="s">
        <v>12</v>
      </c>
      <c r="P10" s="11" t="s">
        <v>13</v>
      </c>
      <c r="Q10" s="11" t="s">
        <v>14</v>
      </c>
      <c r="R10" s="11" t="s">
        <v>15</v>
      </c>
      <c r="S10" s="11" t="s">
        <v>16</v>
      </c>
      <c r="T10" s="11" t="s">
        <v>17</v>
      </c>
      <c r="U10" s="12" t="s">
        <v>18</v>
      </c>
    </row>
    <row r="11" spans="4:21" x14ac:dyDescent="0.25">
      <c r="D11" s="2">
        <v>1101</v>
      </c>
      <c r="E11" s="3" t="s">
        <v>19</v>
      </c>
      <c r="F11" s="3">
        <v>9000</v>
      </c>
      <c r="G11" s="3" t="s">
        <v>24</v>
      </c>
      <c r="H11" s="3" t="s">
        <v>24</v>
      </c>
      <c r="I11" s="3" t="s">
        <v>24</v>
      </c>
      <c r="J11" s="3" t="s">
        <v>24</v>
      </c>
      <c r="K11" s="3" t="s">
        <v>24</v>
      </c>
      <c r="L11" s="3" t="s">
        <v>24</v>
      </c>
      <c r="M11" s="3" t="s">
        <v>24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>
        <f>COUNTIF(G11:R11,"=D")*F11</f>
        <v>45000</v>
      </c>
      <c r="T11" s="3">
        <f>COUNTIF(G11:R11,"=P")*F11</f>
        <v>63000</v>
      </c>
      <c r="U11" s="4" t="str">
        <f>IF(S11&lt;=0,"Clear","Dues Remaining")</f>
        <v>Dues Remaining</v>
      </c>
    </row>
    <row r="12" spans="4:21" x14ac:dyDescent="0.25">
      <c r="D12" s="2">
        <v>1102</v>
      </c>
      <c r="E12" s="3" t="s">
        <v>20</v>
      </c>
      <c r="F12" s="3">
        <v>9000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25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f t="shared" ref="S12:S15" si="0">COUNTIF(G12:R12,"=D")*F12</f>
        <v>72000</v>
      </c>
      <c r="T12" s="3">
        <f t="shared" ref="T12:T15" si="1">COUNTIF(G12:R12,"=P")*F12</f>
        <v>36000</v>
      </c>
      <c r="U12" s="4" t="str">
        <f t="shared" ref="U12:U15" si="2">IF(S12=0,"Clear","Dues Remaining")</f>
        <v>Dues Remaining</v>
      </c>
    </row>
    <row r="13" spans="4:21" x14ac:dyDescent="0.25">
      <c r="D13" s="2">
        <v>1103</v>
      </c>
      <c r="E13" s="3" t="s">
        <v>21</v>
      </c>
      <c r="F13" s="3">
        <v>9000</v>
      </c>
      <c r="G13" s="3" t="s">
        <v>24</v>
      </c>
      <c r="H13" s="3" t="s">
        <v>24</v>
      </c>
      <c r="I13" s="3" t="s">
        <v>24</v>
      </c>
      <c r="J13" s="3" t="s">
        <v>24</v>
      </c>
      <c r="K13" s="3" t="s">
        <v>24</v>
      </c>
      <c r="L13" s="3" t="s">
        <v>24</v>
      </c>
      <c r="M13" s="3" t="s">
        <v>24</v>
      </c>
      <c r="N13" s="3" t="s">
        <v>24</v>
      </c>
      <c r="O13" s="3" t="s">
        <v>24</v>
      </c>
      <c r="P13" s="3" t="s">
        <v>24</v>
      </c>
      <c r="Q13" s="3" t="s">
        <v>24</v>
      </c>
      <c r="R13" s="3" t="s">
        <v>24</v>
      </c>
      <c r="S13" s="3">
        <f t="shared" si="0"/>
        <v>0</v>
      </c>
      <c r="T13" s="3">
        <f t="shared" si="1"/>
        <v>108000</v>
      </c>
      <c r="U13" s="4" t="str">
        <f t="shared" si="2"/>
        <v>Clear</v>
      </c>
    </row>
    <row r="14" spans="4:21" x14ac:dyDescent="0.25">
      <c r="D14" s="2">
        <v>1104</v>
      </c>
      <c r="E14" s="3" t="s">
        <v>22</v>
      </c>
      <c r="F14" s="3">
        <v>9000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f t="shared" si="0"/>
        <v>45000</v>
      </c>
      <c r="T14" s="3">
        <f t="shared" si="1"/>
        <v>63000</v>
      </c>
      <c r="U14" s="4" t="str">
        <f t="shared" si="2"/>
        <v>Dues Remaining</v>
      </c>
    </row>
    <row r="15" spans="4:21" x14ac:dyDescent="0.25">
      <c r="D15" s="2">
        <v>1105</v>
      </c>
      <c r="E15" s="5" t="s">
        <v>23</v>
      </c>
      <c r="F15" s="3">
        <v>9000</v>
      </c>
      <c r="G15" s="3" t="s">
        <v>24</v>
      </c>
      <c r="H15" s="3" t="s">
        <v>24</v>
      </c>
      <c r="I15" s="3" t="s">
        <v>25</v>
      </c>
      <c r="J15" s="3" t="s">
        <v>25</v>
      </c>
      <c r="K15" s="3" t="s">
        <v>25</v>
      </c>
      <c r="L15" s="3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>
        <f t="shared" si="0"/>
        <v>90000</v>
      </c>
      <c r="T15" s="3">
        <f t="shared" si="1"/>
        <v>18000</v>
      </c>
      <c r="U15" s="4" t="str">
        <f t="shared" si="2"/>
        <v>Dues Remaining</v>
      </c>
    </row>
    <row r="16" spans="4:21" x14ac:dyDescent="0.25">
      <c r="D16" s="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6"/>
    </row>
    <row r="17" spans="4:21" x14ac:dyDescent="0.25">
      <c r="D17" s="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6"/>
    </row>
    <row r="18" spans="4:21" x14ac:dyDescent="0.25">
      <c r="D18" s="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6"/>
    </row>
    <row r="19" spans="4:21" ht="15.75" thickBot="1" x14ac:dyDescent="0.3">
      <c r="D19" s="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9"/>
    </row>
  </sheetData>
  <mergeCells count="1">
    <mergeCell ref="D8:U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DF32-11D5-4FA3-8547-C05DEFB0627A}">
  <dimension ref="G10:N15"/>
  <sheetViews>
    <sheetView zoomScaleNormal="100" workbookViewId="0">
      <selection activeCell="H23" sqref="H23"/>
    </sheetView>
  </sheetViews>
  <sheetFormatPr defaultColWidth="8.42578125" defaultRowHeight="15" x14ac:dyDescent="0.25"/>
  <cols>
    <col min="7" max="7" width="12.140625" customWidth="1"/>
    <col min="8" max="8" width="12.5703125" customWidth="1"/>
    <col min="9" max="9" width="13.28515625" customWidth="1"/>
    <col min="12" max="12" width="13.7109375" customWidth="1"/>
    <col min="14" max="14" width="12.5703125" customWidth="1"/>
  </cols>
  <sheetData>
    <row r="10" spans="7:14" x14ac:dyDescent="0.25">
      <c r="G10" s="85" t="s">
        <v>26</v>
      </c>
      <c r="H10" s="85"/>
      <c r="I10" s="85"/>
    </row>
    <row r="11" spans="7:14" x14ac:dyDescent="0.25">
      <c r="G11" s="13" t="s">
        <v>27</v>
      </c>
      <c r="H11" s="13" t="s">
        <v>28</v>
      </c>
      <c r="I11" s="13" t="s">
        <v>29</v>
      </c>
      <c r="L11" s="15" t="s">
        <v>37</v>
      </c>
      <c r="M11" s="15" t="s">
        <v>30</v>
      </c>
      <c r="N11" s="15">
        <f>SUMIF(G12:G15,M11,I12:I15)</f>
        <v>600</v>
      </c>
    </row>
    <row r="12" spans="7:14" x14ac:dyDescent="0.25">
      <c r="G12" s="14" t="s">
        <v>30</v>
      </c>
      <c r="H12" s="14" t="s">
        <v>33</v>
      </c>
      <c r="I12" s="14">
        <v>500</v>
      </c>
      <c r="L12" s="15" t="s">
        <v>38</v>
      </c>
      <c r="M12" s="15" t="s">
        <v>31</v>
      </c>
      <c r="N12" s="15">
        <f>AVERAGEIF(G12:G15,M12,I12:I15)</f>
        <v>1000</v>
      </c>
    </row>
    <row r="13" spans="7:14" x14ac:dyDescent="0.25">
      <c r="G13" s="14" t="s">
        <v>31</v>
      </c>
      <c r="H13" s="14" t="s">
        <v>34</v>
      </c>
      <c r="I13" s="14">
        <v>1000</v>
      </c>
    </row>
    <row r="14" spans="7:14" x14ac:dyDescent="0.25">
      <c r="G14" s="14" t="s">
        <v>32</v>
      </c>
      <c r="H14" s="14" t="s">
        <v>35</v>
      </c>
      <c r="I14" s="14">
        <v>600</v>
      </c>
    </row>
    <row r="15" spans="7:14" x14ac:dyDescent="0.25">
      <c r="G15" s="14" t="s">
        <v>30</v>
      </c>
      <c r="H15" s="14" t="s">
        <v>36</v>
      </c>
      <c r="I15" s="14">
        <v>100</v>
      </c>
    </row>
  </sheetData>
  <mergeCells count="1">
    <mergeCell ref="G10:I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9E00-E932-404D-BF6B-C2DC04BCD752}">
  <dimension ref="E14:O24"/>
  <sheetViews>
    <sheetView topLeftCell="A7" workbookViewId="0">
      <selection activeCell="H21" sqref="H21"/>
    </sheetView>
  </sheetViews>
  <sheetFormatPr defaultRowHeight="15" x14ac:dyDescent="0.25"/>
  <cols>
    <col min="1" max="5" width="9.140625" style="1"/>
    <col min="6" max="6" width="15.28515625" style="1" customWidth="1"/>
    <col min="7" max="12" width="9.140625" style="1"/>
    <col min="13" max="13" width="11.85546875" style="1" customWidth="1"/>
    <col min="14" max="16384" width="9.140625" style="1"/>
  </cols>
  <sheetData>
    <row r="14" spans="5:15" x14ac:dyDescent="0.25">
      <c r="E14" s="86" t="s">
        <v>43</v>
      </c>
      <c r="F14" s="86"/>
      <c r="G14" s="86"/>
      <c r="M14" s="87" t="s">
        <v>39</v>
      </c>
      <c r="N14" s="87"/>
      <c r="O14" s="87"/>
    </row>
    <row r="16" spans="5:15" x14ac:dyDescent="0.25">
      <c r="M16" s="18">
        <v>12</v>
      </c>
      <c r="N16" s="18">
        <v>15</v>
      </c>
    </row>
    <row r="17" spans="5:15" x14ac:dyDescent="0.25">
      <c r="E17" s="16" t="s">
        <v>40</v>
      </c>
      <c r="F17" s="16" t="s">
        <v>41</v>
      </c>
      <c r="G17" s="16" t="s">
        <v>42</v>
      </c>
      <c r="M17" s="18" t="s">
        <v>49</v>
      </c>
      <c r="N17" s="18" t="s">
        <v>50</v>
      </c>
    </row>
    <row r="20" spans="5:15" x14ac:dyDescent="0.25">
      <c r="F20" s="17" t="str">
        <f>_xlfn.CONCAT(E17,F17,G17)</f>
        <v>GOOGLE.Com</v>
      </c>
      <c r="M20" s="3" t="s">
        <v>44</v>
      </c>
      <c r="O20" s="17">
        <f>IFERROR(M16/N16,"ERROR")</f>
        <v>0.8</v>
      </c>
    </row>
    <row r="21" spans="5:15" x14ac:dyDescent="0.25">
      <c r="M21" s="3" t="s">
        <v>45</v>
      </c>
      <c r="O21" s="17">
        <f>IFERROR(M16*N16,"ERROR")</f>
        <v>180</v>
      </c>
    </row>
    <row r="22" spans="5:15" x14ac:dyDescent="0.25">
      <c r="M22" s="3" t="s">
        <v>46</v>
      </c>
      <c r="O22" s="17">
        <f>IFERROR(M16-N16,"ERROR")</f>
        <v>-3</v>
      </c>
    </row>
    <row r="23" spans="5:15" x14ac:dyDescent="0.25">
      <c r="M23" s="3" t="s">
        <v>47</v>
      </c>
      <c r="O23" s="17">
        <f>IFERROR(M16+N16,"ERROR")</f>
        <v>27</v>
      </c>
    </row>
    <row r="24" spans="5:15" x14ac:dyDescent="0.25">
      <c r="M24" s="3" t="s">
        <v>48</v>
      </c>
      <c r="O24" s="17" t="str">
        <f>IFERROR(M17+N17,"ERROR")</f>
        <v>ERROR</v>
      </c>
    </row>
  </sheetData>
  <mergeCells count="2">
    <mergeCell ref="E14:G14"/>
    <mergeCell ref="M14:O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6387-7D5C-4B73-B72A-C20E94552BD3}">
  <dimension ref="G11:L22"/>
  <sheetViews>
    <sheetView topLeftCell="B1" zoomScaleNormal="100" workbookViewId="0">
      <selection activeCell="G28" sqref="G28"/>
    </sheetView>
  </sheetViews>
  <sheetFormatPr defaultRowHeight="15" x14ac:dyDescent="0.25"/>
  <cols>
    <col min="7" max="7" width="16.7109375" customWidth="1"/>
    <col min="8" max="9" width="15.5703125" customWidth="1"/>
  </cols>
  <sheetData>
    <row r="11" spans="7:12" ht="20.25" customHeight="1" x14ac:dyDescent="0.25">
      <c r="G11" s="86" t="s">
        <v>61</v>
      </c>
      <c r="H11" s="86"/>
      <c r="I11" s="86"/>
    </row>
    <row r="12" spans="7:12" x14ac:dyDescent="0.25">
      <c r="G12" s="21" t="s">
        <v>51</v>
      </c>
      <c r="H12" s="21" t="s">
        <v>52</v>
      </c>
      <c r="I12" s="21" t="s">
        <v>53</v>
      </c>
    </row>
    <row r="13" spans="7:12" x14ac:dyDescent="0.25">
      <c r="G13" s="20" t="s">
        <v>54</v>
      </c>
      <c r="H13" s="20">
        <v>3</v>
      </c>
      <c r="I13" s="20">
        <v>24500</v>
      </c>
      <c r="L13" s="14">
        <f>SUM(H13*I13)</f>
        <v>73500</v>
      </c>
    </row>
    <row r="14" spans="7:12" x14ac:dyDescent="0.25">
      <c r="G14" s="20" t="s">
        <v>55</v>
      </c>
      <c r="H14" s="20">
        <v>4</v>
      </c>
      <c r="I14" s="20">
        <v>14000</v>
      </c>
      <c r="L14" s="14">
        <f>SUM(H14*I14)</f>
        <v>56000</v>
      </c>
    </row>
    <row r="15" spans="7:12" x14ac:dyDescent="0.25">
      <c r="G15" s="20" t="s">
        <v>56</v>
      </c>
      <c r="H15" s="20">
        <v>3</v>
      </c>
      <c r="I15" s="20">
        <v>23000</v>
      </c>
      <c r="L15" s="14">
        <f>SUM(H15*I15)</f>
        <v>69000</v>
      </c>
    </row>
    <row r="16" spans="7:12" x14ac:dyDescent="0.25">
      <c r="G16" s="20" t="s">
        <v>57</v>
      </c>
      <c r="H16" s="20">
        <v>8</v>
      </c>
      <c r="I16" s="20">
        <v>15000</v>
      </c>
      <c r="L16" s="14">
        <f>SUM(H16*I16)</f>
        <v>120000</v>
      </c>
    </row>
    <row r="17" spans="7:12" x14ac:dyDescent="0.25">
      <c r="G17" s="20" t="s">
        <v>58</v>
      </c>
      <c r="H17" s="20">
        <v>2</v>
      </c>
      <c r="I17" s="20">
        <v>50000</v>
      </c>
      <c r="L17" s="14">
        <f>SUM(H17*I17)</f>
        <v>100000</v>
      </c>
    </row>
    <row r="21" spans="7:12" x14ac:dyDescent="0.25">
      <c r="G21" s="13" t="s">
        <v>59</v>
      </c>
      <c r="H21" s="20">
        <f>SUMPRODUCT(H13:H17,I13:I17)</f>
        <v>418500</v>
      </c>
      <c r="L21" s="19">
        <f>SUM(L13:L17)</f>
        <v>418500</v>
      </c>
    </row>
    <row r="22" spans="7:12" x14ac:dyDescent="0.25">
      <c r="H22" t="s">
        <v>60</v>
      </c>
    </row>
  </sheetData>
  <mergeCells count="1">
    <mergeCell ref="G11:I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6BE5-341F-4F73-8552-D4388CE43F8C}">
  <dimension ref="F13:K21"/>
  <sheetViews>
    <sheetView workbookViewId="0">
      <selection activeCell="J21" sqref="J21"/>
    </sheetView>
  </sheetViews>
  <sheetFormatPr defaultRowHeight="15" x14ac:dyDescent="0.25"/>
  <sheetData>
    <row r="13" spans="6:11" x14ac:dyDescent="0.25">
      <c r="F13" s="88" t="s">
        <v>64</v>
      </c>
      <c r="G13" s="88"/>
      <c r="H13" s="88"/>
      <c r="I13" s="88"/>
      <c r="J13" s="88"/>
      <c r="K13" s="88"/>
    </row>
    <row r="14" spans="6:11" x14ac:dyDescent="0.25">
      <c r="F14" s="88"/>
      <c r="G14" s="88"/>
      <c r="H14" s="88"/>
      <c r="I14" s="88"/>
      <c r="J14" s="88"/>
      <c r="K14" s="88"/>
    </row>
    <row r="16" spans="6:11" x14ac:dyDescent="0.25">
      <c r="F16" s="16" t="s">
        <v>62</v>
      </c>
      <c r="G16" s="3">
        <v>1</v>
      </c>
      <c r="H16" s="3">
        <v>2</v>
      </c>
      <c r="I16" s="3">
        <v>3</v>
      </c>
      <c r="J16" s="3">
        <v>4</v>
      </c>
      <c r="K16" s="3">
        <v>5</v>
      </c>
    </row>
    <row r="17" spans="6:11" x14ac:dyDescent="0.25">
      <c r="F17" s="16" t="s">
        <v>63</v>
      </c>
      <c r="G17" s="3">
        <v>25000</v>
      </c>
      <c r="H17" s="3">
        <v>15000</v>
      </c>
      <c r="I17" s="3">
        <v>20000</v>
      </c>
      <c r="J17" s="3">
        <v>12000</v>
      </c>
      <c r="K17" s="3">
        <v>15000</v>
      </c>
    </row>
    <row r="20" spans="6:11" x14ac:dyDescent="0.25">
      <c r="G20" s="89" t="s">
        <v>65</v>
      </c>
      <c r="H20" s="89"/>
      <c r="I20" s="89"/>
      <c r="J20" s="1">
        <v>6</v>
      </c>
    </row>
    <row r="21" spans="6:11" x14ac:dyDescent="0.25">
      <c r="G21" s="89" t="s">
        <v>66</v>
      </c>
      <c r="H21" s="89"/>
      <c r="I21" s="89"/>
      <c r="J21" s="1">
        <f>_xlfn.FORECAST.LINEAR(J20,G17:K17,G16:K16)</f>
        <v>10500</v>
      </c>
    </row>
  </sheetData>
  <mergeCells count="3">
    <mergeCell ref="F13:K14"/>
    <mergeCell ref="G20:I20"/>
    <mergeCell ref="G21:I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0983-9759-42C2-9479-F1C6A39E3379}">
  <dimension ref="A1:K27"/>
  <sheetViews>
    <sheetView topLeftCell="A10" workbookViewId="0">
      <selection activeCell="J23" sqref="J23"/>
    </sheetView>
  </sheetViews>
  <sheetFormatPr defaultRowHeight="15" x14ac:dyDescent="0.25"/>
  <cols>
    <col min="7" max="7" width="13.85546875" customWidth="1"/>
    <col min="8" max="8" width="16.7109375" customWidth="1"/>
    <col min="9" max="9" width="17.28515625" customWidth="1"/>
    <col min="10" max="10" width="31.28515625" customWidth="1"/>
  </cols>
  <sheetData>
    <row r="1" spans="1:10" x14ac:dyDescent="0.25">
      <c r="A1" t="s">
        <v>60</v>
      </c>
    </row>
    <row r="10" spans="1:10" x14ac:dyDescent="0.25">
      <c r="J10" t="s">
        <v>60</v>
      </c>
    </row>
    <row r="14" spans="1:10" ht="15" customHeight="1" x14ac:dyDescent="0.25">
      <c r="G14" s="90" t="s">
        <v>67</v>
      </c>
      <c r="H14" s="91"/>
      <c r="I14" s="91"/>
      <c r="J14" s="92"/>
    </row>
    <row r="15" spans="1:10" ht="15" customHeight="1" x14ac:dyDescent="0.25">
      <c r="G15" s="93"/>
      <c r="H15" s="94"/>
      <c r="I15" s="94"/>
      <c r="J15" s="95"/>
    </row>
    <row r="17" spans="7:11" x14ac:dyDescent="0.25">
      <c r="G17" s="17" t="s">
        <v>2</v>
      </c>
      <c r="H17" s="17" t="s">
        <v>68</v>
      </c>
      <c r="I17" s="17" t="s">
        <v>62</v>
      </c>
      <c r="J17" s="17" t="s">
        <v>72</v>
      </c>
    </row>
    <row r="18" spans="7:11" x14ac:dyDescent="0.25">
      <c r="G18" s="3" t="s">
        <v>19</v>
      </c>
      <c r="H18" s="24">
        <v>46057</v>
      </c>
      <c r="I18" s="3">
        <v>36</v>
      </c>
      <c r="J18" s="25">
        <f>EDATE(H18,I18)</f>
        <v>47153</v>
      </c>
    </row>
    <row r="19" spans="7:11" x14ac:dyDescent="0.25">
      <c r="G19" s="22" t="s">
        <v>69</v>
      </c>
      <c r="H19" s="23">
        <v>46057</v>
      </c>
      <c r="I19" s="22">
        <v>7</v>
      </c>
      <c r="J19" s="25">
        <f t="shared" ref="J19:J22" si="0">EDATE(H19,I19)</f>
        <v>46269</v>
      </c>
    </row>
    <row r="20" spans="7:11" x14ac:dyDescent="0.25">
      <c r="G20" s="22" t="s">
        <v>23</v>
      </c>
      <c r="H20" s="23">
        <v>46058</v>
      </c>
      <c r="I20" s="22">
        <v>3</v>
      </c>
      <c r="J20" s="25">
        <f t="shared" si="0"/>
        <v>46147</v>
      </c>
    </row>
    <row r="21" spans="7:11" x14ac:dyDescent="0.25">
      <c r="G21" s="22" t="s">
        <v>70</v>
      </c>
      <c r="H21" s="23">
        <v>46059</v>
      </c>
      <c r="I21" s="22">
        <v>4</v>
      </c>
      <c r="J21" s="25">
        <f t="shared" si="0"/>
        <v>46179</v>
      </c>
      <c r="K21" s="1"/>
    </row>
    <row r="22" spans="7:11" x14ac:dyDescent="0.25">
      <c r="G22" s="22" t="s">
        <v>71</v>
      </c>
      <c r="H22" s="23">
        <v>46060</v>
      </c>
      <c r="I22" s="22">
        <v>5</v>
      </c>
      <c r="J22" s="25">
        <f t="shared" si="0"/>
        <v>46210</v>
      </c>
      <c r="K22" s="1"/>
    </row>
    <row r="26" spans="7:11" x14ac:dyDescent="0.25">
      <c r="H26" t="s">
        <v>81</v>
      </c>
    </row>
    <row r="27" spans="7:11" x14ac:dyDescent="0.25">
      <c r="G27">
        <v>12</v>
      </c>
      <c r="H27">
        <f>$G$27+10</f>
        <v>22</v>
      </c>
    </row>
  </sheetData>
  <mergeCells count="1">
    <mergeCell ref="G14:J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56F0-D07F-4A33-8D78-0024D8270E00}">
  <dimension ref="G15:P22"/>
  <sheetViews>
    <sheetView workbookViewId="0">
      <selection activeCell="O17" sqref="O17"/>
    </sheetView>
  </sheetViews>
  <sheetFormatPr defaultRowHeight="15" x14ac:dyDescent="0.25"/>
  <cols>
    <col min="10" max="10" width="13.28515625" customWidth="1"/>
    <col min="11" max="11" width="18.42578125" customWidth="1"/>
    <col min="12" max="12" width="12.7109375" customWidth="1"/>
  </cols>
  <sheetData>
    <row r="15" spans="7:16" x14ac:dyDescent="0.25">
      <c r="G15" s="17" t="s">
        <v>2</v>
      </c>
      <c r="H15" s="17" t="s">
        <v>73</v>
      </c>
      <c r="J15" s="17" t="s">
        <v>74</v>
      </c>
      <c r="K15" s="14">
        <f>LARGE(H16:H22,3)</f>
        <v>52</v>
      </c>
      <c r="L15" s="14"/>
      <c r="N15">
        <f>LARGE(H16:H22,1)</f>
        <v>94</v>
      </c>
      <c r="O15">
        <f>LARGE(H17:H23,2)</f>
        <v>53</v>
      </c>
      <c r="P15">
        <f>LARGE(H16:H22,3)</f>
        <v>52</v>
      </c>
    </row>
    <row r="16" spans="7:16" x14ac:dyDescent="0.25">
      <c r="G16" s="3" t="s">
        <v>76</v>
      </c>
      <c r="H16" s="3">
        <v>52</v>
      </c>
      <c r="J16" s="17" t="s">
        <v>75</v>
      </c>
      <c r="K16" s="14">
        <f>SMALL(H16:H22,1)</f>
        <v>12</v>
      </c>
      <c r="L16" s="14"/>
    </row>
    <row r="17" spans="7:8" x14ac:dyDescent="0.25">
      <c r="G17" s="3" t="s">
        <v>77</v>
      </c>
      <c r="H17" s="3">
        <v>53</v>
      </c>
    </row>
    <row r="18" spans="7:8" x14ac:dyDescent="0.25">
      <c r="G18" s="3" t="s">
        <v>78</v>
      </c>
      <c r="H18" s="3">
        <v>45</v>
      </c>
    </row>
    <row r="19" spans="7:8" x14ac:dyDescent="0.25">
      <c r="G19" s="3" t="s">
        <v>70</v>
      </c>
      <c r="H19" s="3">
        <v>12</v>
      </c>
    </row>
    <row r="20" spans="7:8" x14ac:dyDescent="0.25">
      <c r="G20" s="3" t="s">
        <v>76</v>
      </c>
      <c r="H20" s="3">
        <v>94</v>
      </c>
    </row>
    <row r="21" spans="7:8" x14ac:dyDescent="0.25">
      <c r="G21" s="3" t="s">
        <v>79</v>
      </c>
      <c r="H21" s="3">
        <v>12</v>
      </c>
    </row>
    <row r="22" spans="7:8" x14ac:dyDescent="0.25">
      <c r="G22" s="3" t="s">
        <v>80</v>
      </c>
      <c r="H22" s="3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96F1-63ED-488F-9034-C2F1957DB7FA}">
  <dimension ref="F16:G22"/>
  <sheetViews>
    <sheetView workbookViewId="0">
      <selection activeCell="F12" sqref="F12"/>
    </sheetView>
  </sheetViews>
  <sheetFormatPr defaultRowHeight="15" x14ac:dyDescent="0.25"/>
  <cols>
    <col min="6" max="6" width="16.42578125" customWidth="1"/>
    <col min="7" max="7" width="16.85546875" customWidth="1"/>
  </cols>
  <sheetData>
    <row r="16" spans="6:7" x14ac:dyDescent="0.25">
      <c r="F16" s="96" t="s">
        <v>82</v>
      </c>
      <c r="G16" s="96"/>
    </row>
    <row r="17" spans="6:7" x14ac:dyDescent="0.25">
      <c r="F17" s="16" t="s">
        <v>83</v>
      </c>
      <c r="G17" s="16" t="s">
        <v>84</v>
      </c>
    </row>
    <row r="18" spans="6:7" x14ac:dyDescent="0.25">
      <c r="F18" s="16" t="s">
        <v>85</v>
      </c>
      <c r="G18" s="3">
        <v>67</v>
      </c>
    </row>
    <row r="19" spans="6:7" x14ac:dyDescent="0.25">
      <c r="F19" s="3" t="s">
        <v>86</v>
      </c>
      <c r="G19" s="3">
        <v>48</v>
      </c>
    </row>
    <row r="20" spans="6:7" x14ac:dyDescent="0.25">
      <c r="F20" s="3" t="s">
        <v>87</v>
      </c>
      <c r="G20" s="3">
        <v>19</v>
      </c>
    </row>
    <row r="21" spans="6:7" x14ac:dyDescent="0.25">
      <c r="F21" s="3" t="s">
        <v>88</v>
      </c>
      <c r="G21" s="3">
        <v>35</v>
      </c>
    </row>
    <row r="22" spans="6:7" x14ac:dyDescent="0.25">
      <c r="F22" s="3" t="s">
        <v>89</v>
      </c>
      <c r="G22" s="3">
        <v>16</v>
      </c>
    </row>
  </sheetData>
  <mergeCells count="1">
    <mergeCell ref="F16:G1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C1CE-CD7F-48CC-8C61-CADA52DDFAE5}">
  <dimension ref="A1:D16"/>
  <sheetViews>
    <sheetView workbookViewId="0">
      <selection activeCell="E9" sqref="E9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9.28515625" bestFit="1" customWidth="1"/>
    <col min="4" max="4" width="11" bestFit="1" customWidth="1"/>
  </cols>
  <sheetData>
    <row r="1" spans="1:4" x14ac:dyDescent="0.25">
      <c r="A1" s="47" t="s">
        <v>134</v>
      </c>
    </row>
    <row r="3" spans="1:4" x14ac:dyDescent="0.25">
      <c r="A3" t="s">
        <v>118</v>
      </c>
      <c r="B3" t="s">
        <v>62</v>
      </c>
      <c r="C3" t="s">
        <v>119</v>
      </c>
      <c r="D3" t="s">
        <v>120</v>
      </c>
    </row>
    <row r="4" spans="1:4" x14ac:dyDescent="0.25">
      <c r="A4" t="s">
        <v>121</v>
      </c>
      <c r="B4" t="s">
        <v>4</v>
      </c>
      <c r="C4" t="s">
        <v>124</v>
      </c>
      <c r="D4">
        <v>1494</v>
      </c>
    </row>
    <row r="5" spans="1:4" x14ac:dyDescent="0.25">
      <c r="A5" t="s">
        <v>121</v>
      </c>
      <c r="B5" t="s">
        <v>6</v>
      </c>
      <c r="C5" t="s">
        <v>125</v>
      </c>
      <c r="D5">
        <v>1878</v>
      </c>
    </row>
    <row r="6" spans="1:4" x14ac:dyDescent="0.25">
      <c r="A6" t="s">
        <v>121</v>
      </c>
      <c r="B6" t="s">
        <v>6</v>
      </c>
      <c r="C6" t="s">
        <v>125</v>
      </c>
      <c r="D6">
        <v>1241</v>
      </c>
    </row>
    <row r="7" spans="1:4" x14ac:dyDescent="0.25">
      <c r="A7" t="s">
        <v>121</v>
      </c>
      <c r="B7" t="s">
        <v>5</v>
      </c>
      <c r="C7" t="s">
        <v>125</v>
      </c>
      <c r="D7">
        <v>1473</v>
      </c>
    </row>
    <row r="8" spans="1:4" x14ac:dyDescent="0.25">
      <c r="A8" t="s">
        <v>123</v>
      </c>
      <c r="B8" t="s">
        <v>4</v>
      </c>
      <c r="C8" t="s">
        <v>124</v>
      </c>
      <c r="D8">
        <v>1056</v>
      </c>
    </row>
    <row r="9" spans="1:4" x14ac:dyDescent="0.25">
      <c r="A9" t="s">
        <v>123</v>
      </c>
      <c r="B9" t="s">
        <v>4</v>
      </c>
      <c r="C9" t="s">
        <v>124</v>
      </c>
      <c r="D9">
        <v>1443</v>
      </c>
    </row>
    <row r="10" spans="1:4" x14ac:dyDescent="0.25">
      <c r="A10" t="s">
        <v>123</v>
      </c>
      <c r="B10" t="s">
        <v>5</v>
      </c>
      <c r="C10" t="s">
        <v>124</v>
      </c>
      <c r="D10">
        <v>1830</v>
      </c>
    </row>
    <row r="11" spans="1:4" x14ac:dyDescent="0.25">
      <c r="A11" t="s">
        <v>123</v>
      </c>
      <c r="B11" t="s">
        <v>5</v>
      </c>
      <c r="C11" t="s">
        <v>124</v>
      </c>
      <c r="D11">
        <v>1789</v>
      </c>
    </row>
    <row r="12" spans="1:4" x14ac:dyDescent="0.25">
      <c r="A12" t="s">
        <v>122</v>
      </c>
      <c r="B12" t="s">
        <v>6</v>
      </c>
      <c r="C12" t="s">
        <v>124</v>
      </c>
      <c r="D12">
        <v>1726</v>
      </c>
    </row>
    <row r="13" spans="1:4" x14ac:dyDescent="0.25">
      <c r="A13" t="s">
        <v>122</v>
      </c>
      <c r="B13" t="s">
        <v>5</v>
      </c>
      <c r="C13" t="s">
        <v>125</v>
      </c>
      <c r="D13">
        <v>1236</v>
      </c>
    </row>
    <row r="14" spans="1:4" x14ac:dyDescent="0.25">
      <c r="A14" t="s">
        <v>122</v>
      </c>
      <c r="B14" t="s">
        <v>4</v>
      </c>
      <c r="C14" t="s">
        <v>125</v>
      </c>
      <c r="D14">
        <v>1606</v>
      </c>
    </row>
    <row r="15" spans="1:4" x14ac:dyDescent="0.25">
      <c r="A15" t="s">
        <v>122</v>
      </c>
      <c r="B15" t="s">
        <v>5</v>
      </c>
      <c r="C15" t="s">
        <v>126</v>
      </c>
      <c r="D15">
        <v>1817</v>
      </c>
    </row>
    <row r="16" spans="1:4" x14ac:dyDescent="0.25">
      <c r="A16" t="s">
        <v>108</v>
      </c>
      <c r="D16">
        <f>SUBTOTAL(109,Table3[Quantity])</f>
        <v>18589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1479-B41F-40FB-AAD8-C02B99B94DBC}">
  <dimension ref="A1:E8"/>
  <sheetViews>
    <sheetView workbookViewId="0">
      <selection activeCell="I24" sqref="I24"/>
    </sheetView>
  </sheetViews>
  <sheetFormatPr defaultRowHeight="15" x14ac:dyDescent="0.25"/>
  <cols>
    <col min="1" max="1" width="15.42578125" bestFit="1" customWidth="1"/>
    <col min="2" max="2" width="16.28515625" bestFit="1" customWidth="1"/>
    <col min="3" max="4" width="5.28515625" bestFit="1" customWidth="1"/>
    <col min="5" max="5" width="11.28515625" bestFit="1" customWidth="1"/>
  </cols>
  <sheetData>
    <row r="1" spans="1:5" x14ac:dyDescent="0.25">
      <c r="A1" s="56" t="s">
        <v>62</v>
      </c>
      <c r="B1" s="19" t="s">
        <v>131</v>
      </c>
    </row>
    <row r="3" spans="1:5" x14ac:dyDescent="0.25">
      <c r="A3" s="56" t="s">
        <v>129</v>
      </c>
      <c r="B3" s="56" t="s">
        <v>130</v>
      </c>
      <c r="C3" s="19"/>
      <c r="D3" s="19"/>
      <c r="E3" s="19"/>
    </row>
    <row r="4" spans="1:5" x14ac:dyDescent="0.25">
      <c r="A4" s="56" t="s">
        <v>127</v>
      </c>
      <c r="B4" s="19" t="s">
        <v>124</v>
      </c>
      <c r="C4" s="19" t="s">
        <v>125</v>
      </c>
      <c r="D4" s="19" t="s">
        <v>126</v>
      </c>
      <c r="E4" s="19" t="s">
        <v>128</v>
      </c>
    </row>
    <row r="5" spans="1:5" x14ac:dyDescent="0.25">
      <c r="A5" s="57" t="s">
        <v>121</v>
      </c>
      <c r="B5" s="19">
        <v>1494</v>
      </c>
      <c r="C5" s="19">
        <v>4592</v>
      </c>
      <c r="D5" s="19"/>
      <c r="E5" s="19">
        <v>6086</v>
      </c>
    </row>
    <row r="6" spans="1:5" x14ac:dyDescent="0.25">
      <c r="A6" s="57" t="s">
        <v>123</v>
      </c>
      <c r="B6" s="19">
        <v>6118</v>
      </c>
      <c r="C6" s="19"/>
      <c r="D6" s="19"/>
      <c r="E6" s="19">
        <v>6118</v>
      </c>
    </row>
    <row r="7" spans="1:5" x14ac:dyDescent="0.25">
      <c r="A7" s="57" t="s">
        <v>122</v>
      </c>
      <c r="B7" s="19">
        <v>1726</v>
      </c>
      <c r="C7" s="19">
        <v>2842</v>
      </c>
      <c r="D7" s="19">
        <v>1817</v>
      </c>
      <c r="E7" s="19">
        <v>6385</v>
      </c>
    </row>
    <row r="8" spans="1:5" x14ac:dyDescent="0.25">
      <c r="A8" s="57" t="s">
        <v>128</v>
      </c>
      <c r="B8" s="19">
        <v>9338</v>
      </c>
      <c r="C8" s="19">
        <v>7434</v>
      </c>
      <c r="D8" s="19">
        <v>1817</v>
      </c>
      <c r="E8" s="19">
        <v>18589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FE8D-ED1D-4C14-84A8-52649B0B9A31}">
  <dimension ref="F7:O24"/>
  <sheetViews>
    <sheetView topLeftCell="C1" workbookViewId="0">
      <selection activeCell="I32" sqref="I32"/>
    </sheetView>
  </sheetViews>
  <sheetFormatPr defaultRowHeight="15" x14ac:dyDescent="0.25"/>
  <cols>
    <col min="6" max="6" width="14.140625" customWidth="1"/>
    <col min="7" max="7" width="14.28515625" customWidth="1"/>
    <col min="8" max="8" width="17" customWidth="1"/>
    <col min="9" max="9" width="14.28515625" customWidth="1"/>
    <col min="12" max="12" width="16" customWidth="1"/>
    <col min="13" max="13" width="16.140625" customWidth="1"/>
    <col min="14" max="14" width="15.5703125" customWidth="1"/>
    <col min="15" max="15" width="17.140625" customWidth="1"/>
  </cols>
  <sheetData>
    <row r="7" spans="6:15" ht="15.75" x14ac:dyDescent="0.25">
      <c r="F7" s="97" t="s">
        <v>132</v>
      </c>
      <c r="G7" s="97"/>
      <c r="H7" s="97"/>
      <c r="I7" s="97"/>
      <c r="L7" s="97" t="s">
        <v>133</v>
      </c>
      <c r="M7" s="97"/>
      <c r="N7" s="97"/>
      <c r="O7" s="97"/>
    </row>
    <row r="11" spans="6:15" x14ac:dyDescent="0.25">
      <c r="F11" s="17" t="s">
        <v>118</v>
      </c>
      <c r="G11" s="17" t="s">
        <v>62</v>
      </c>
      <c r="H11" s="17" t="s">
        <v>119</v>
      </c>
      <c r="I11" s="17" t="s">
        <v>120</v>
      </c>
      <c r="L11" s="50" t="s">
        <v>118</v>
      </c>
      <c r="M11" s="51" t="s">
        <v>62</v>
      </c>
      <c r="N11" s="51" t="s">
        <v>119</v>
      </c>
      <c r="O11" s="52" t="s">
        <v>120</v>
      </c>
    </row>
    <row r="12" spans="6:15" x14ac:dyDescent="0.25">
      <c r="F12" s="22" t="s">
        <v>121</v>
      </c>
      <c r="G12" s="22" t="s">
        <v>4</v>
      </c>
      <c r="H12" s="22" t="s">
        <v>124</v>
      </c>
      <c r="I12" s="22">
        <v>1494</v>
      </c>
      <c r="L12" s="48" t="s">
        <v>121</v>
      </c>
      <c r="M12" s="22" t="s">
        <v>4</v>
      </c>
      <c r="N12" s="22" t="s">
        <v>124</v>
      </c>
      <c r="O12" s="49">
        <v>1494</v>
      </c>
    </row>
    <row r="13" spans="6:15" x14ac:dyDescent="0.25">
      <c r="F13" s="22" t="s">
        <v>122</v>
      </c>
      <c r="G13" s="22" t="s">
        <v>5</v>
      </c>
      <c r="H13" s="22" t="s">
        <v>125</v>
      </c>
      <c r="I13" s="22">
        <v>1236</v>
      </c>
      <c r="L13" s="48" t="s">
        <v>122</v>
      </c>
      <c r="M13" s="22" t="s">
        <v>5</v>
      </c>
      <c r="N13" s="22" t="s">
        <v>125</v>
      </c>
      <c r="O13" s="49">
        <v>1236</v>
      </c>
    </row>
    <row r="14" spans="6:15" x14ac:dyDescent="0.25">
      <c r="F14" s="22" t="s">
        <v>123</v>
      </c>
      <c r="G14" s="22" t="s">
        <v>4</v>
      </c>
      <c r="H14" s="22" t="s">
        <v>124</v>
      </c>
      <c r="I14" s="22">
        <v>1056</v>
      </c>
      <c r="L14" s="48" t="s">
        <v>123</v>
      </c>
      <c r="M14" s="22" t="s">
        <v>4</v>
      </c>
      <c r="N14" s="22" t="s">
        <v>124</v>
      </c>
      <c r="O14" s="49">
        <v>1056</v>
      </c>
    </row>
    <row r="15" spans="6:15" x14ac:dyDescent="0.25">
      <c r="F15" s="22" t="s">
        <v>122</v>
      </c>
      <c r="G15" s="22" t="s">
        <v>5</v>
      </c>
      <c r="H15" s="22" t="s">
        <v>126</v>
      </c>
      <c r="I15" s="22">
        <v>1817</v>
      </c>
      <c r="L15" s="48" t="s">
        <v>122</v>
      </c>
      <c r="M15" s="22" t="s">
        <v>5</v>
      </c>
      <c r="N15" s="22" t="s">
        <v>126</v>
      </c>
      <c r="O15" s="49">
        <v>1817</v>
      </c>
    </row>
    <row r="16" spans="6:15" x14ac:dyDescent="0.25">
      <c r="F16" s="22" t="s">
        <v>123</v>
      </c>
      <c r="G16" s="22" t="s">
        <v>4</v>
      </c>
      <c r="H16" s="22" t="s">
        <v>124</v>
      </c>
      <c r="I16" s="22">
        <v>1443</v>
      </c>
      <c r="L16" s="48" t="s">
        <v>123</v>
      </c>
      <c r="M16" s="22" t="s">
        <v>4</v>
      </c>
      <c r="N16" s="22" t="s">
        <v>124</v>
      </c>
      <c r="O16" s="49">
        <v>1443</v>
      </c>
    </row>
    <row r="17" spans="6:15" x14ac:dyDescent="0.25">
      <c r="F17" s="22" t="s">
        <v>121</v>
      </c>
      <c r="G17" s="22" t="s">
        <v>6</v>
      </c>
      <c r="H17" s="22" t="s">
        <v>125</v>
      </c>
      <c r="I17" s="22">
        <v>1878</v>
      </c>
      <c r="L17" s="48" t="s">
        <v>121</v>
      </c>
      <c r="M17" s="22" t="s">
        <v>6</v>
      </c>
      <c r="N17" s="22" t="s">
        <v>125</v>
      </c>
      <c r="O17" s="49">
        <v>1878</v>
      </c>
    </row>
    <row r="18" spans="6:15" x14ac:dyDescent="0.25">
      <c r="F18" s="22" t="s">
        <v>122</v>
      </c>
      <c r="G18" s="22" t="s">
        <v>4</v>
      </c>
      <c r="H18" s="22" t="s">
        <v>125</v>
      </c>
      <c r="I18" s="22">
        <v>1606</v>
      </c>
      <c r="L18" s="48" t="s">
        <v>122</v>
      </c>
      <c r="M18" s="22" t="s">
        <v>4</v>
      </c>
      <c r="N18" s="22" t="s">
        <v>125</v>
      </c>
      <c r="O18" s="49">
        <v>1606</v>
      </c>
    </row>
    <row r="19" spans="6:15" x14ac:dyDescent="0.25">
      <c r="F19" s="22" t="s">
        <v>123</v>
      </c>
      <c r="G19" s="22" t="s">
        <v>5</v>
      </c>
      <c r="H19" s="22" t="s">
        <v>124</v>
      </c>
      <c r="I19" s="22">
        <v>1830</v>
      </c>
      <c r="L19" s="48" t="s">
        <v>123</v>
      </c>
      <c r="M19" s="22" t="s">
        <v>5</v>
      </c>
      <c r="N19" s="22" t="s">
        <v>124</v>
      </c>
      <c r="O19" s="49">
        <v>1830</v>
      </c>
    </row>
    <row r="20" spans="6:15" x14ac:dyDescent="0.25">
      <c r="F20" s="22" t="s">
        <v>121</v>
      </c>
      <c r="G20" s="22" t="s">
        <v>6</v>
      </c>
      <c r="H20" s="22" t="s">
        <v>125</v>
      </c>
      <c r="I20" s="22">
        <v>1241</v>
      </c>
      <c r="L20" s="48" t="s">
        <v>121</v>
      </c>
      <c r="M20" s="22" t="s">
        <v>6</v>
      </c>
      <c r="N20" s="22" t="s">
        <v>125</v>
      </c>
      <c r="O20" s="49">
        <v>1241</v>
      </c>
    </row>
    <row r="21" spans="6:15" x14ac:dyDescent="0.25">
      <c r="F21" s="22" t="s">
        <v>121</v>
      </c>
      <c r="G21" s="22" t="s">
        <v>5</v>
      </c>
      <c r="H21" s="22" t="s">
        <v>125</v>
      </c>
      <c r="I21" s="22">
        <v>1473</v>
      </c>
      <c r="L21" s="48" t="s">
        <v>121</v>
      </c>
      <c r="M21" s="22" t="s">
        <v>5</v>
      </c>
      <c r="N21" s="22" t="s">
        <v>125</v>
      </c>
      <c r="O21" s="49">
        <v>1473</v>
      </c>
    </row>
    <row r="22" spans="6:15" x14ac:dyDescent="0.25">
      <c r="F22" s="22" t="s">
        <v>123</v>
      </c>
      <c r="G22" s="22" t="s">
        <v>5</v>
      </c>
      <c r="H22" s="22" t="s">
        <v>124</v>
      </c>
      <c r="I22" s="22">
        <v>1789</v>
      </c>
      <c r="L22" s="48" t="s">
        <v>123</v>
      </c>
      <c r="M22" s="22" t="s">
        <v>5</v>
      </c>
      <c r="N22" s="22" t="s">
        <v>124</v>
      </c>
      <c r="O22" s="49">
        <v>1789</v>
      </c>
    </row>
    <row r="23" spans="6:15" x14ac:dyDescent="0.25">
      <c r="F23" s="22" t="s">
        <v>122</v>
      </c>
      <c r="G23" s="22" t="s">
        <v>6</v>
      </c>
      <c r="H23" s="22" t="s">
        <v>124</v>
      </c>
      <c r="I23" s="22">
        <v>1726</v>
      </c>
      <c r="L23" s="53" t="s">
        <v>122</v>
      </c>
      <c r="M23" s="54" t="s">
        <v>6</v>
      </c>
      <c r="N23" s="54" t="s">
        <v>124</v>
      </c>
      <c r="O23" s="55">
        <v>1726</v>
      </c>
    </row>
    <row r="24" spans="6:15" x14ac:dyDescent="0.25">
      <c r="L24" s="53" t="s">
        <v>108</v>
      </c>
      <c r="M24" s="54"/>
      <c r="N24" s="54"/>
      <c r="O24" s="55">
        <f>SUBTOTAL(109,Table2[Quantity])</f>
        <v>18589</v>
      </c>
    </row>
  </sheetData>
  <mergeCells count="2">
    <mergeCell ref="F7:I7"/>
    <mergeCell ref="L7:O7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21B6-7957-4C33-804F-E1E5D01BF395}">
  <dimension ref="F7:Q26"/>
  <sheetViews>
    <sheetView topLeftCell="C1" workbookViewId="0">
      <selection activeCell="F11" sqref="F11:L16"/>
    </sheetView>
  </sheetViews>
  <sheetFormatPr defaultRowHeight="15" x14ac:dyDescent="0.25"/>
  <cols>
    <col min="6" max="6" width="13.5703125" customWidth="1"/>
    <col min="7" max="7" width="14.140625" customWidth="1"/>
    <col min="8" max="8" width="15.28515625" customWidth="1"/>
    <col min="9" max="9" width="15" customWidth="1"/>
    <col min="10" max="10" width="12" customWidth="1"/>
    <col min="11" max="11" width="13.5703125" customWidth="1"/>
    <col min="12" max="12" width="16.140625" customWidth="1"/>
    <col min="15" max="15" width="9.5703125" bestFit="1" customWidth="1"/>
  </cols>
  <sheetData>
    <row r="7" spans="6:13" x14ac:dyDescent="0.25">
      <c r="F7" s="98" t="s">
        <v>144</v>
      </c>
      <c r="G7" s="98"/>
      <c r="H7" s="98"/>
      <c r="I7" s="98"/>
      <c r="J7" s="98"/>
      <c r="K7" s="98"/>
      <c r="L7" s="98"/>
    </row>
    <row r="8" spans="6:13" x14ac:dyDescent="0.25">
      <c r="F8" s="98"/>
      <c r="G8" s="98"/>
      <c r="H8" s="98"/>
      <c r="I8" s="98"/>
      <c r="J8" s="98"/>
      <c r="K8" s="98"/>
      <c r="L8" s="98"/>
    </row>
    <row r="11" spans="6:13" x14ac:dyDescent="0.25">
      <c r="F11" s="17" t="s">
        <v>135</v>
      </c>
      <c r="G11" s="17" t="s">
        <v>51</v>
      </c>
      <c r="H11" s="17" t="s">
        <v>136</v>
      </c>
      <c r="I11" s="17" t="s">
        <v>137</v>
      </c>
      <c r="J11" s="17" t="s">
        <v>138</v>
      </c>
      <c r="K11" s="17" t="s">
        <v>139</v>
      </c>
      <c r="L11" s="17" t="s">
        <v>140</v>
      </c>
      <c r="M11" s="1"/>
    </row>
    <row r="12" spans="6:13" x14ac:dyDescent="0.25">
      <c r="F12" s="3">
        <v>1</v>
      </c>
      <c r="G12" s="3" t="s">
        <v>141</v>
      </c>
      <c r="H12" s="3">
        <v>35000</v>
      </c>
      <c r="I12" s="3">
        <f>H12*K12</f>
        <v>2800</v>
      </c>
      <c r="J12" s="3">
        <v>4</v>
      </c>
      <c r="K12" s="60">
        <v>0.08</v>
      </c>
      <c r="L12" s="61">
        <f>PMT(K12/12,J12*12,H12-I12)</f>
        <v>-786.09609939637994</v>
      </c>
      <c r="M12" s="1"/>
    </row>
    <row r="13" spans="6:13" x14ac:dyDescent="0.25">
      <c r="F13" s="3">
        <v>2</v>
      </c>
      <c r="G13" s="3" t="s">
        <v>142</v>
      </c>
      <c r="H13" s="3">
        <v>60000</v>
      </c>
      <c r="I13" s="3">
        <f t="shared" ref="I13:I16" si="0">H13*K13</f>
        <v>7200</v>
      </c>
      <c r="J13" s="3">
        <v>3</v>
      </c>
      <c r="K13" s="60">
        <v>0.12</v>
      </c>
      <c r="L13" s="61">
        <f t="shared" ref="L13:L16" si="1">PMT(K13/12,J13*12,H13-I13)</f>
        <v>-1753.715558118543</v>
      </c>
      <c r="M13" s="1"/>
    </row>
    <row r="14" spans="6:13" x14ac:dyDescent="0.25">
      <c r="F14" s="3">
        <v>3</v>
      </c>
      <c r="G14" s="3" t="s">
        <v>143</v>
      </c>
      <c r="H14" s="3">
        <v>35000</v>
      </c>
      <c r="I14" s="3">
        <f t="shared" si="0"/>
        <v>3500</v>
      </c>
      <c r="J14" s="3">
        <v>2</v>
      </c>
      <c r="K14" s="60">
        <v>0.1</v>
      </c>
      <c r="L14" s="61">
        <f t="shared" si="1"/>
        <v>-1453.5651796317698</v>
      </c>
      <c r="M14" s="1"/>
    </row>
    <row r="15" spans="6:13" x14ac:dyDescent="0.25">
      <c r="F15" s="3">
        <v>4</v>
      </c>
      <c r="G15" s="3" t="s">
        <v>116</v>
      </c>
      <c r="H15" s="3">
        <v>20000</v>
      </c>
      <c r="I15" s="3">
        <f t="shared" si="0"/>
        <v>1800</v>
      </c>
      <c r="J15" s="3">
        <v>5</v>
      </c>
      <c r="K15" s="60">
        <v>0.09</v>
      </c>
      <c r="L15" s="61">
        <f t="shared" si="1"/>
        <v>-377.80206511964292</v>
      </c>
      <c r="M15" s="1"/>
    </row>
    <row r="16" spans="6:13" x14ac:dyDescent="0.25">
      <c r="F16" s="3">
        <v>5</v>
      </c>
      <c r="G16" s="3" t="s">
        <v>56</v>
      </c>
      <c r="H16" s="3">
        <v>45000</v>
      </c>
      <c r="I16" s="3">
        <f t="shared" si="0"/>
        <v>2250</v>
      </c>
      <c r="J16" s="3">
        <v>3</v>
      </c>
      <c r="K16" s="60">
        <v>0.05</v>
      </c>
      <c r="L16" s="61">
        <f t="shared" si="1"/>
        <v>-1281.2558512244493</v>
      </c>
      <c r="M16" s="1"/>
    </row>
    <row r="24" spans="15:17" x14ac:dyDescent="0.25">
      <c r="O24" s="58">
        <v>35000</v>
      </c>
      <c r="P24" s="59">
        <v>0.08</v>
      </c>
    </row>
    <row r="26" spans="15:17" x14ac:dyDescent="0.25">
      <c r="Q26">
        <f>O24*P24</f>
        <v>2800</v>
      </c>
    </row>
  </sheetData>
  <mergeCells count="1">
    <mergeCell ref="F7:L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8C7F-32F1-479F-AD1C-AA3A4B425D1F}">
  <dimension ref="F8:L15"/>
  <sheetViews>
    <sheetView tabSelected="1" topLeftCell="A4" workbookViewId="0">
      <selection activeCell="L15" sqref="L15"/>
    </sheetView>
  </sheetViews>
  <sheetFormatPr defaultRowHeight="15" x14ac:dyDescent="0.25"/>
  <cols>
    <col min="6" max="6" width="9.7109375" customWidth="1"/>
    <col min="7" max="7" width="12.5703125" customWidth="1"/>
    <col min="8" max="8" width="15.140625" customWidth="1"/>
    <col min="9" max="9" width="13.42578125" customWidth="1"/>
    <col min="10" max="10" width="17.28515625" customWidth="1"/>
    <col min="12" max="12" width="20.7109375" customWidth="1"/>
  </cols>
  <sheetData>
    <row r="8" spans="6:12" x14ac:dyDescent="0.25">
      <c r="F8" s="85" t="s">
        <v>149</v>
      </c>
      <c r="G8" s="85"/>
      <c r="H8" s="85"/>
      <c r="I8" s="85"/>
      <c r="J8" s="85"/>
    </row>
    <row r="9" spans="6:12" x14ac:dyDescent="0.25">
      <c r="F9" s="99" t="s">
        <v>148</v>
      </c>
      <c r="G9" s="99"/>
      <c r="H9" s="99"/>
      <c r="I9" s="99"/>
      <c r="J9" s="99"/>
    </row>
    <row r="10" spans="6:12" x14ac:dyDescent="0.25">
      <c r="F10" s="17" t="s">
        <v>135</v>
      </c>
      <c r="G10" s="17" t="s">
        <v>145</v>
      </c>
      <c r="H10" s="17" t="s">
        <v>150</v>
      </c>
      <c r="I10" s="17" t="s">
        <v>146</v>
      </c>
      <c r="J10" s="17" t="s">
        <v>147</v>
      </c>
    </row>
    <row r="11" spans="6:12" x14ac:dyDescent="0.25">
      <c r="F11" s="3">
        <v>1</v>
      </c>
      <c r="G11" s="3">
        <v>5000</v>
      </c>
      <c r="H11" s="3">
        <v>1</v>
      </c>
      <c r="I11" s="60">
        <v>0.2</v>
      </c>
      <c r="J11" s="63">
        <f>FV(I11,H11,0,G11)</f>
        <v>-6000</v>
      </c>
      <c r="L11" s="62"/>
    </row>
    <row r="12" spans="6:12" x14ac:dyDescent="0.25">
      <c r="F12" s="3">
        <v>2</v>
      </c>
      <c r="G12" s="3">
        <v>60000</v>
      </c>
      <c r="H12" s="3">
        <v>3</v>
      </c>
      <c r="I12" s="60">
        <v>0.12</v>
      </c>
      <c r="J12" s="63">
        <f t="shared" ref="J12:J15" si="0">FV(I12,H12,0,G12)</f>
        <v>-84295.680000000022</v>
      </c>
    </row>
    <row r="13" spans="6:12" x14ac:dyDescent="0.25">
      <c r="F13" s="3">
        <v>3</v>
      </c>
      <c r="G13" s="3">
        <v>35000</v>
      </c>
      <c r="H13" s="3">
        <v>2</v>
      </c>
      <c r="I13" s="60">
        <v>0.1</v>
      </c>
      <c r="J13" s="63">
        <f t="shared" si="0"/>
        <v>-42350.000000000007</v>
      </c>
    </row>
    <row r="14" spans="6:12" x14ac:dyDescent="0.25">
      <c r="F14" s="3">
        <v>4</v>
      </c>
      <c r="G14" s="3">
        <v>20000</v>
      </c>
      <c r="H14" s="3">
        <v>5</v>
      </c>
      <c r="I14" s="60">
        <v>0.09</v>
      </c>
      <c r="J14" s="63">
        <f t="shared" si="0"/>
        <v>-30772.479098000011</v>
      </c>
    </row>
    <row r="15" spans="6:12" x14ac:dyDescent="0.25">
      <c r="F15" s="3">
        <v>5</v>
      </c>
      <c r="G15" s="3">
        <v>45000</v>
      </c>
      <c r="H15" s="3">
        <v>3</v>
      </c>
      <c r="I15" s="60">
        <v>0.05</v>
      </c>
      <c r="J15" s="63">
        <f t="shared" si="0"/>
        <v>-52093.125000000007</v>
      </c>
    </row>
  </sheetData>
  <mergeCells count="2">
    <mergeCell ref="F9:J9"/>
    <mergeCell ref="F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MarkSheet WITH AMMPR</vt:lpstr>
      <vt:lpstr>MarkSheet WITH Test</vt:lpstr>
      <vt:lpstr>MarkSheet Normal</vt:lpstr>
      <vt:lpstr>COUNT, A, BLANK</vt:lpstr>
      <vt:lpstr>COUNT IF</vt:lpstr>
      <vt:lpstr>SUMIF AND AVARAGE</vt:lpstr>
      <vt:lpstr>CONCAT IFERROR</vt:lpstr>
      <vt:lpstr>SUMPRODUCT</vt:lpstr>
      <vt:lpstr>FORECAST</vt:lpstr>
      <vt:lpstr>EDATE</vt:lpstr>
      <vt:lpstr>LARGE</vt:lpstr>
      <vt:lpstr>CHARTS</vt:lpstr>
      <vt:lpstr>Table</vt:lpstr>
      <vt:lpstr>Pivot Table</vt:lpstr>
      <vt:lpstr>Multi TAble</vt:lpstr>
      <vt:lpstr>PMT</vt:lpstr>
      <vt:lpstr>FV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2015-06-05T18:17:20Z</dcterms:created>
  <dcterms:modified xsi:type="dcterms:W3CDTF">2026-02-06T15:55:08Z</dcterms:modified>
</cp:coreProperties>
</file>